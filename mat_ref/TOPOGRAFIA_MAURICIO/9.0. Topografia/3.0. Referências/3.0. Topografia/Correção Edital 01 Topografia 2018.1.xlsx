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Felzemburgh\OneDrive\Documentos\2.0 Ensino\2.3 Topografia\"/>
    </mc:Choice>
  </mc:AlternateContent>
  <bookViews>
    <workbookView xWindow="0" yWindow="0" windowWidth="8295" windowHeight="4380" activeTab="1"/>
  </bookViews>
  <sheets>
    <sheet name="Plan1" sheetId="1" r:id="rId1"/>
    <sheet name="Plan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9" i="2" l="1"/>
  <c r="K37" i="2" l="1"/>
  <c r="K35" i="2"/>
  <c r="K28" i="2"/>
  <c r="K21" i="2"/>
  <c r="K15" i="2"/>
  <c r="K9" i="2"/>
  <c r="K5" i="2"/>
</calcChain>
</file>

<file path=xl/sharedStrings.xml><?xml version="1.0" encoding="utf-8"?>
<sst xmlns="http://schemas.openxmlformats.org/spreadsheetml/2006/main" count="54" uniqueCount="50">
  <si>
    <t>ANA CAROLINE SANTOS GONCALVES</t>
  </si>
  <si>
    <t>ANA FLÁVIA PIRES PEDREIRA</t>
  </si>
  <si>
    <t>ANDREA DE FATIMA LEBRAM MARTINELLI BRAGA</t>
  </si>
  <si>
    <t>ANNA CAROLINA ANDRADE DE MELO</t>
  </si>
  <si>
    <t>ANNA FLAVIA DE SA NOVAIS OLIVEIRA</t>
  </si>
  <si>
    <t>BRUNA LIMA BASTOS</t>
  </si>
  <si>
    <t>CAIO BEZERRA PEREIRA</t>
  </si>
  <si>
    <t>CAROLINA JONES NEVES</t>
  </si>
  <si>
    <t>CASSIA AILA OLIVEIRA MIRANDA DOS SANTOS</t>
  </si>
  <si>
    <t>CLARIANA VIEIRA BOMFIM</t>
  </si>
  <si>
    <t>EDUARDA CHAGAS MOREIRA VILLAS BOAS</t>
  </si>
  <si>
    <t>ERICK NATAN AZEVEDO PACHECO</t>
  </si>
  <si>
    <t>EVELYN BRENDA FREIRE DE OLIVEIRA</t>
  </si>
  <si>
    <t>EVILEN MACLEN SANTOS SOUZA</t>
  </si>
  <si>
    <t>GABRIEL LIMA FIGUEIREDO</t>
  </si>
  <si>
    <t>GABRIEL PIRES MONTEIRO DA SILVA</t>
  </si>
  <si>
    <t>GABRIELLA BARBAS DA SILVA</t>
  </si>
  <si>
    <t>GIOVANA MARTINS ALCANTARA SACRAMENTO</t>
  </si>
  <si>
    <t>GIULLIA PILLAR SANTANA CALOMENI</t>
  </si>
  <si>
    <t>GUSTAVO SOUZA ROCHA</t>
  </si>
  <si>
    <t>INDIRACY LAYS DE JESUS CRISPIM</t>
  </si>
  <si>
    <t>JOAO ANTONIO GOUVEIA LIMA</t>
  </si>
  <si>
    <t>JOAO PAULO LIMA DE BRITO</t>
  </si>
  <si>
    <t>JOSE EDUARDO BARRETO DE MATTOS</t>
  </si>
  <si>
    <t>JULIA ALMEIDA MARQUES</t>
  </si>
  <si>
    <t>JULIO OLIVEIRA SOUSA</t>
  </si>
  <si>
    <t>LAÍS FRAGA DE BRITO</t>
  </si>
  <si>
    <t>LARA CASAES PIMENTEL SILVA</t>
  </si>
  <si>
    <t>LUCAS SANTOS ANDRADE</t>
  </si>
  <si>
    <t>LUIS GUSTAVO DA SILVA PINTO</t>
  </si>
  <si>
    <t>MARCELLA COSTA LÔBO GARCIA</t>
  </si>
  <si>
    <t>MARCUS VINICIUS MAZZEI VIANA</t>
  </si>
  <si>
    <t>MARIA EDUARDA PACHECO CAVALLINI TOBIAS</t>
  </si>
  <si>
    <t>MICHEL RIBEIRO BRANDAO TRAVASSOS CAMERA</t>
  </si>
  <si>
    <t>NATALIA SANCHES LOPES</t>
  </si>
  <si>
    <t>PAULO ROBERTO DE MORAES LEITE</t>
  </si>
  <si>
    <t>RALIME VASCONCELOS BRAGA DINIZ GONCALVES</t>
  </si>
  <si>
    <t>RICARDO ALBERTO LEAL FRANCA DUARTE DE MOURA</t>
  </si>
  <si>
    <t>RODRIGO BAHIA DE AGUIAR MENEZES</t>
  </si>
  <si>
    <t>SERGIO PEREIRA SAMPAIO JUNIOR</t>
  </si>
  <si>
    <t>Etapa 01</t>
  </si>
  <si>
    <t>Etapa 02</t>
  </si>
  <si>
    <t>Etapa 03</t>
  </si>
  <si>
    <t>Etapa 04</t>
  </si>
  <si>
    <t>Etapa 05</t>
  </si>
  <si>
    <t>Parte 01</t>
  </si>
  <si>
    <t>Parte 02</t>
  </si>
  <si>
    <t>Total</t>
  </si>
  <si>
    <t>Portal</t>
  </si>
  <si>
    <t>JOICY VICTORIA OLIVEIRA PINTO (choicies)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</si>
</sst>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B43"/>
  <sheetViews>
    <sheetView workbookViewId="0">
      <selection activeCell="A14" sqref="A14:B16"/>
    </sheetView>
  </sheetViews>
  <sheetFormatPr defaultRowHeight="15" x14ac:dyDescent="0.25"/>
  <cols>
    <col min="1" max="1" width="48.140625" bestFit="1" customWidth="1"/>
    <col min="2" max="2" width="10" bestFit="1" customWidth="1"/>
  </cols>
  <sheetData>
    <row r="14" spans="1:2" x14ac:dyDescent="0.25">
      <c r="A14" s="1" t="s">
        <v>12</v>
      </c>
      <c r="B14" s="1">
        <v>154171247</v>
      </c>
    </row>
    <row r="15" spans="1:2" x14ac:dyDescent="0.25">
      <c r="A15" s="1" t="s">
        <v>20</v>
      </c>
      <c r="B15" s="1">
        <v>33162081</v>
      </c>
    </row>
    <row r="16" spans="1:2" x14ac:dyDescent="0.25">
      <c r="A16" s="1" t="s">
        <v>38</v>
      </c>
      <c r="B16" s="1">
        <v>33172057</v>
      </c>
    </row>
    <row r="43" spans="1:1" x14ac:dyDescent="0.25">
      <c r="A4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3"/>
  <sheetViews>
    <sheetView tabSelected="1" topLeftCell="A31" workbookViewId="0">
      <selection activeCell="N43" sqref="N43"/>
    </sheetView>
  </sheetViews>
  <sheetFormatPr defaultRowHeight="15" x14ac:dyDescent="0.25"/>
  <cols>
    <col min="1" max="1" width="43.28515625" bestFit="1" customWidth="1"/>
    <col min="2" max="2" width="35.5703125" customWidth="1"/>
    <col min="3" max="10" width="9.140625" customWidth="1"/>
  </cols>
  <sheetData>
    <row r="2" spans="1:12" x14ac:dyDescent="0.25">
      <c r="A2" s="2"/>
      <c r="B2" s="2"/>
      <c r="C2" s="5" t="s">
        <v>45</v>
      </c>
      <c r="D2" s="5"/>
      <c r="E2" s="5"/>
      <c r="F2" s="5"/>
      <c r="G2" s="5"/>
      <c r="H2" s="5" t="s">
        <v>46</v>
      </c>
      <c r="I2" s="5"/>
      <c r="J2" s="5"/>
      <c r="K2" s="6" t="s">
        <v>47</v>
      </c>
      <c r="L2" s="6" t="s">
        <v>48</v>
      </c>
    </row>
    <row r="3" spans="1:12" ht="13.5" customHeight="1" x14ac:dyDescent="0.25">
      <c r="A3" s="2"/>
      <c r="B3" s="2"/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40</v>
      </c>
      <c r="I3" s="3" t="s">
        <v>41</v>
      </c>
      <c r="J3" s="3" t="s">
        <v>42</v>
      </c>
      <c r="K3" s="7"/>
      <c r="L3" s="7"/>
    </row>
    <row r="4" spans="1:12" x14ac:dyDescent="0.25">
      <c r="A4" s="2"/>
      <c r="B4" s="2"/>
      <c r="C4" s="2">
        <v>0.5</v>
      </c>
      <c r="D4" s="2">
        <v>1</v>
      </c>
      <c r="E4" s="2">
        <v>1</v>
      </c>
      <c r="F4" s="2">
        <v>0.5</v>
      </c>
      <c r="G4" s="2">
        <v>0.5</v>
      </c>
      <c r="H4" s="2">
        <v>5</v>
      </c>
      <c r="I4" s="2">
        <v>1</v>
      </c>
      <c r="J4" s="2">
        <v>0.5</v>
      </c>
      <c r="K4" s="2"/>
      <c r="L4" s="2"/>
    </row>
    <row r="5" spans="1:12" x14ac:dyDescent="0.25">
      <c r="A5" s="4" t="s">
        <v>0</v>
      </c>
      <c r="B5" s="4">
        <v>33172073</v>
      </c>
      <c r="C5" s="8">
        <v>0.5</v>
      </c>
      <c r="D5" s="8">
        <v>1</v>
      </c>
      <c r="E5" s="8">
        <v>1</v>
      </c>
      <c r="F5" s="8">
        <v>0.25</v>
      </c>
      <c r="G5" s="8">
        <v>0.5</v>
      </c>
      <c r="H5" s="8">
        <v>4</v>
      </c>
      <c r="I5" s="8">
        <v>1</v>
      </c>
      <c r="J5" s="8">
        <v>0.3</v>
      </c>
      <c r="K5" s="8">
        <f>SUM(C5:J8)</f>
        <v>8.5500000000000007</v>
      </c>
      <c r="L5" s="8">
        <v>9</v>
      </c>
    </row>
    <row r="6" spans="1:12" x14ac:dyDescent="0.25">
      <c r="A6" s="4" t="s">
        <v>17</v>
      </c>
      <c r="B6" s="4">
        <v>33172021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4" t="s">
        <v>24</v>
      </c>
      <c r="B7" s="4">
        <v>150141175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4" t="s">
        <v>10</v>
      </c>
      <c r="B8" s="4">
        <v>33181197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4" t="s">
        <v>4</v>
      </c>
      <c r="B9" s="4">
        <v>33172052</v>
      </c>
      <c r="C9" s="11">
        <v>0.5</v>
      </c>
      <c r="D9" s="11">
        <v>1</v>
      </c>
      <c r="E9" s="11">
        <v>1</v>
      </c>
      <c r="F9" s="11">
        <v>0.5</v>
      </c>
      <c r="G9" s="11">
        <v>0.5</v>
      </c>
      <c r="H9" s="11">
        <v>4.75</v>
      </c>
      <c r="I9" s="11">
        <v>1</v>
      </c>
      <c r="J9" s="11">
        <v>0.25</v>
      </c>
      <c r="K9" s="11">
        <f>SUM(C9:J14)</f>
        <v>9.5</v>
      </c>
      <c r="L9" s="11">
        <v>10</v>
      </c>
    </row>
    <row r="10" spans="1:12" x14ac:dyDescent="0.25">
      <c r="A10" s="4" t="s">
        <v>12</v>
      </c>
      <c r="B10" s="4">
        <v>154171247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4" t="s">
        <v>16</v>
      </c>
      <c r="B11" s="4">
        <v>19171172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4" t="s">
        <v>18</v>
      </c>
      <c r="B12" s="4">
        <v>29171017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x14ac:dyDescent="0.25">
      <c r="A13" s="4" t="s">
        <v>27</v>
      </c>
      <c r="B13" s="4">
        <v>33172040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 x14ac:dyDescent="0.25">
      <c r="A14" s="4" t="s">
        <v>34</v>
      </c>
      <c r="B14" s="4">
        <v>33172010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4" t="s">
        <v>1</v>
      </c>
      <c r="B15" s="4">
        <v>33172026</v>
      </c>
      <c r="C15" s="14">
        <v>0.5</v>
      </c>
      <c r="D15" s="14">
        <v>1</v>
      </c>
      <c r="E15" s="14">
        <v>1</v>
      </c>
      <c r="F15" s="14">
        <v>0.4</v>
      </c>
      <c r="G15" s="14">
        <v>0.5</v>
      </c>
      <c r="H15" s="14">
        <v>4</v>
      </c>
      <c r="I15" s="14">
        <v>1</v>
      </c>
      <c r="J15" s="14">
        <v>0.5</v>
      </c>
      <c r="K15" s="14">
        <f>SUM(C15:J20)</f>
        <v>8.9</v>
      </c>
      <c r="L15" s="14">
        <v>9</v>
      </c>
    </row>
    <row r="16" spans="1:12" ht="30" x14ac:dyDescent="0.25">
      <c r="A16" s="4" t="s">
        <v>36</v>
      </c>
      <c r="B16" s="4">
        <v>33171079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4" t="s">
        <v>29</v>
      </c>
      <c r="B17" s="4">
        <v>33172008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5">
      <c r="A18" s="4" t="s">
        <v>28</v>
      </c>
      <c r="B18" s="4">
        <v>33172001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4" t="s">
        <v>25</v>
      </c>
      <c r="B19" s="4">
        <v>33172023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5">
      <c r="A20" s="4" t="s">
        <v>49</v>
      </c>
      <c r="B20" s="4">
        <v>33172009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25">
      <c r="A21" s="4" t="s">
        <v>21</v>
      </c>
      <c r="B21" s="4">
        <v>16172014</v>
      </c>
      <c r="C21" s="14">
        <v>0.5</v>
      </c>
      <c r="D21" s="14">
        <v>1</v>
      </c>
      <c r="E21" s="14">
        <v>1</v>
      </c>
      <c r="F21" s="14">
        <v>0.4</v>
      </c>
      <c r="G21" s="14">
        <v>0.5</v>
      </c>
      <c r="H21" s="14">
        <v>4.5999999999999996</v>
      </c>
      <c r="I21" s="14">
        <v>0.6</v>
      </c>
      <c r="J21" s="14">
        <v>0.5</v>
      </c>
      <c r="K21" s="14">
        <f>SUM(C21:J27)</f>
        <v>9.1</v>
      </c>
      <c r="L21" s="14">
        <v>9</v>
      </c>
    </row>
    <row r="22" spans="1:12" ht="30" x14ac:dyDescent="0.25">
      <c r="A22" s="4" t="s">
        <v>37</v>
      </c>
      <c r="B22" s="4">
        <v>33172013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5">
      <c r="A23" s="4" t="s">
        <v>19</v>
      </c>
      <c r="B23" s="4">
        <v>33091375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4" t="s">
        <v>6</v>
      </c>
      <c r="B24" s="4">
        <v>30151008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25">
      <c r="A25" s="4" t="s">
        <v>11</v>
      </c>
      <c r="B25" s="4">
        <v>33172045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30" x14ac:dyDescent="0.25">
      <c r="A26" s="4" t="s">
        <v>33</v>
      </c>
      <c r="B26" s="4">
        <v>33172003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x14ac:dyDescent="0.25">
      <c r="A27" s="4" t="s">
        <v>39</v>
      </c>
      <c r="B27" s="4">
        <v>33172042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4" t="s">
        <v>13</v>
      </c>
      <c r="B28" s="4">
        <v>164151053</v>
      </c>
      <c r="C28" s="14">
        <v>0.5</v>
      </c>
      <c r="D28" s="14">
        <v>1</v>
      </c>
      <c r="E28" s="14">
        <v>1</v>
      </c>
      <c r="F28" s="14">
        <v>0.5</v>
      </c>
      <c r="G28" s="14">
        <v>0.5</v>
      </c>
      <c r="H28" s="14">
        <v>5</v>
      </c>
      <c r="I28" s="14">
        <v>0</v>
      </c>
      <c r="J28" s="14">
        <v>0</v>
      </c>
      <c r="K28" s="14">
        <f>SUM(C28:J34)</f>
        <v>8.5</v>
      </c>
      <c r="L28" s="14">
        <v>9</v>
      </c>
    </row>
    <row r="29" spans="1:12" x14ac:dyDescent="0.25">
      <c r="A29" s="4" t="s">
        <v>7</v>
      </c>
      <c r="B29" s="4">
        <v>33171005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4" t="s">
        <v>32</v>
      </c>
      <c r="B30" s="4">
        <v>33172024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25">
      <c r="A31" s="4" t="s">
        <v>8</v>
      </c>
      <c r="B31" s="4">
        <v>33172062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4" t="s">
        <v>9</v>
      </c>
      <c r="B32" s="4">
        <v>33171255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25">
      <c r="A33" s="4" t="s">
        <v>35</v>
      </c>
      <c r="B33" s="4">
        <v>33172054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25">
      <c r="A34" s="4" t="s">
        <v>23</v>
      </c>
      <c r="B34" s="4">
        <v>6111076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x14ac:dyDescent="0.25">
      <c r="A35" s="4" t="s">
        <v>5</v>
      </c>
      <c r="B35" s="4">
        <v>33151252</v>
      </c>
      <c r="C35" s="14">
        <v>0.5</v>
      </c>
      <c r="D35" s="14">
        <v>1</v>
      </c>
      <c r="E35" s="14">
        <v>1</v>
      </c>
      <c r="F35" s="14">
        <v>0.4</v>
      </c>
      <c r="G35" s="14">
        <v>0.5</v>
      </c>
      <c r="H35" s="14">
        <v>4</v>
      </c>
      <c r="I35" s="14">
        <v>0</v>
      </c>
      <c r="J35" s="14">
        <v>0.5</v>
      </c>
      <c r="K35" s="14">
        <f>SUM(C35:J36)</f>
        <v>7.9</v>
      </c>
      <c r="L35" s="14">
        <v>8</v>
      </c>
    </row>
    <row r="36" spans="1:12" x14ac:dyDescent="0.25">
      <c r="A36" s="4" t="s">
        <v>14</v>
      </c>
      <c r="B36" s="4">
        <v>16161119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5">
      <c r="A37" s="4" t="s">
        <v>26</v>
      </c>
      <c r="B37" s="4">
        <v>33171094</v>
      </c>
      <c r="C37" s="14">
        <v>0.5</v>
      </c>
      <c r="D37" s="14">
        <v>1</v>
      </c>
      <c r="E37" s="14">
        <v>1</v>
      </c>
      <c r="F37" s="14">
        <v>0.5</v>
      </c>
      <c r="G37" s="14">
        <v>0.5</v>
      </c>
      <c r="H37" s="14">
        <v>3.5</v>
      </c>
      <c r="I37" s="14">
        <v>0</v>
      </c>
      <c r="J37" s="14">
        <v>0.5</v>
      </c>
      <c r="K37" s="14">
        <f>SUM(C37:J38)</f>
        <v>7.5</v>
      </c>
      <c r="L37" s="14">
        <v>8</v>
      </c>
    </row>
    <row r="38" spans="1:12" x14ac:dyDescent="0.25">
      <c r="A38" s="4" t="s">
        <v>30</v>
      </c>
      <c r="B38" s="4">
        <v>33171275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x14ac:dyDescent="0.25">
      <c r="A39" s="4" t="s">
        <v>22</v>
      </c>
      <c r="B39" s="4">
        <v>29121013</v>
      </c>
      <c r="C39" s="14">
        <v>0.5</v>
      </c>
      <c r="D39" s="14">
        <v>1</v>
      </c>
      <c r="E39" s="14">
        <v>1</v>
      </c>
      <c r="F39" s="14">
        <v>0.5</v>
      </c>
      <c r="G39" s="14">
        <v>0.5</v>
      </c>
      <c r="H39" s="14">
        <v>4</v>
      </c>
      <c r="I39" s="14">
        <v>0.5</v>
      </c>
      <c r="J39" s="14">
        <v>0.5</v>
      </c>
      <c r="K39" s="14">
        <f>SUM(C39:J43)</f>
        <v>8.5</v>
      </c>
      <c r="L39" s="14">
        <v>9</v>
      </c>
    </row>
    <row r="40" spans="1:12" ht="15.75" customHeight="1" x14ac:dyDescent="0.25">
      <c r="A40" s="4" t="s">
        <v>2</v>
      </c>
      <c r="B40" s="4">
        <v>33171321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x14ac:dyDescent="0.25">
      <c r="A41" s="4" t="s">
        <v>3</v>
      </c>
      <c r="B41" s="4">
        <v>150131093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x14ac:dyDescent="0.25">
      <c r="A42" s="4" t="s">
        <v>15</v>
      </c>
      <c r="B42" s="4">
        <v>33172029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x14ac:dyDescent="0.25">
      <c r="A43" s="4" t="s">
        <v>31</v>
      </c>
      <c r="B43" s="4">
        <v>6141176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</row>
  </sheetData>
  <mergeCells count="84">
    <mergeCell ref="C39:C43"/>
    <mergeCell ref="D39:D43"/>
    <mergeCell ref="E39:E43"/>
    <mergeCell ref="F39:F43"/>
    <mergeCell ref="G39:G43"/>
    <mergeCell ref="H39:H43"/>
    <mergeCell ref="I35:I36"/>
    <mergeCell ref="J35:J36"/>
    <mergeCell ref="K35:K36"/>
    <mergeCell ref="L35:L36"/>
    <mergeCell ref="H37:H38"/>
    <mergeCell ref="I39:I43"/>
    <mergeCell ref="J39:J43"/>
    <mergeCell ref="K39:K43"/>
    <mergeCell ref="L39:L43"/>
    <mergeCell ref="I37:I38"/>
    <mergeCell ref="J37:J38"/>
    <mergeCell ref="K37:K38"/>
    <mergeCell ref="L37:L38"/>
    <mergeCell ref="H35:H36"/>
    <mergeCell ref="C37:C38"/>
    <mergeCell ref="D37:D38"/>
    <mergeCell ref="E37:E38"/>
    <mergeCell ref="F37:F38"/>
    <mergeCell ref="G37:G38"/>
    <mergeCell ref="C35:C36"/>
    <mergeCell ref="D35:D36"/>
    <mergeCell ref="E35:E36"/>
    <mergeCell ref="F35:F36"/>
    <mergeCell ref="G35:G36"/>
    <mergeCell ref="H28:H34"/>
    <mergeCell ref="I28:I34"/>
    <mergeCell ref="J28:J34"/>
    <mergeCell ref="K28:K34"/>
    <mergeCell ref="L28:L34"/>
    <mergeCell ref="C28:C34"/>
    <mergeCell ref="D28:D34"/>
    <mergeCell ref="E28:E34"/>
    <mergeCell ref="F28:F34"/>
    <mergeCell ref="G28:G34"/>
    <mergeCell ref="H21:H27"/>
    <mergeCell ref="I21:I27"/>
    <mergeCell ref="J21:J27"/>
    <mergeCell ref="K21:K27"/>
    <mergeCell ref="L21:L27"/>
    <mergeCell ref="C21:C27"/>
    <mergeCell ref="D21:D27"/>
    <mergeCell ref="E21:E27"/>
    <mergeCell ref="F21:F27"/>
    <mergeCell ref="G21:G27"/>
    <mergeCell ref="H15:H20"/>
    <mergeCell ref="I15:I20"/>
    <mergeCell ref="J15:J20"/>
    <mergeCell ref="K15:K20"/>
    <mergeCell ref="L15:L20"/>
    <mergeCell ref="C15:C20"/>
    <mergeCell ref="D15:D20"/>
    <mergeCell ref="E15:E20"/>
    <mergeCell ref="F15:F20"/>
    <mergeCell ref="G15:G20"/>
    <mergeCell ref="H9:H14"/>
    <mergeCell ref="I9:I14"/>
    <mergeCell ref="J9:J14"/>
    <mergeCell ref="K9:K14"/>
    <mergeCell ref="L9:L14"/>
    <mergeCell ref="C9:C14"/>
    <mergeCell ref="D9:D14"/>
    <mergeCell ref="E9:E14"/>
    <mergeCell ref="F9:F14"/>
    <mergeCell ref="G9:G14"/>
    <mergeCell ref="C2:G2"/>
    <mergeCell ref="H2:J2"/>
    <mergeCell ref="K2:K3"/>
    <mergeCell ref="L2:L3"/>
    <mergeCell ref="C5:C8"/>
    <mergeCell ref="D5:D8"/>
    <mergeCell ref="E5:E8"/>
    <mergeCell ref="F5:F8"/>
    <mergeCell ref="G5:G8"/>
    <mergeCell ref="H5:H8"/>
    <mergeCell ref="I5:I8"/>
    <mergeCell ref="J5:J8"/>
    <mergeCell ref="K5:K8"/>
    <mergeCell ref="L5:L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RIGAUD MUNIZ</dc:creator>
  <cp:lastModifiedBy>Maurício Felzemburgh</cp:lastModifiedBy>
  <dcterms:created xsi:type="dcterms:W3CDTF">2018-05-15T13:15:16Z</dcterms:created>
  <dcterms:modified xsi:type="dcterms:W3CDTF">2018-05-29T02:09:25Z</dcterms:modified>
</cp:coreProperties>
</file>
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7afc54bf8a9b02fd/Documentos/2.0 Ensino/CIMATEC/7.0. Topografia/"/>
    </mc:Choice>
  </mc:AlternateContent>
  <xr:revisionPtr revIDLastSave="4" documentId="10_ncr:100000_{2770751D-DB4B-42DD-8739-93CB642A61E7}" xr6:coauthVersionLast="47" xr6:coauthVersionMax="47" xr10:uidLastSave="{F0D405F1-4749-4C2C-8944-6B8E7D85970C}"/>
  <bookViews>
    <workbookView xWindow="-120" yWindow="-120" windowWidth="20730" windowHeight="11160" xr2:uid="{00000000-000D-0000-FFFF-FFFF00000000}"/>
  </bookViews>
  <sheets>
    <sheet name="EPV" sheetId="3" r:id="rId1"/>
  </sheets>
  <definedNames>
    <definedName name="_xlnm.Print_Area" localSheetId="0">EPV!$A$1:$L$73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3" l="1"/>
  <c r="G64" i="3"/>
  <c r="S37" i="3"/>
  <c r="R37" i="3"/>
  <c r="P34" i="3"/>
  <c r="P37" i="3" s="1"/>
  <c r="Q37" i="3" s="1"/>
  <c r="Q49" i="3"/>
  <c r="G28" i="3"/>
  <c r="B34" i="3" l="1"/>
  <c r="G34" i="3" s="1"/>
  <c r="G24" i="3"/>
  <c r="B65" i="3" s="1"/>
  <c r="G15" i="3"/>
  <c r="G16" i="3"/>
  <c r="B40" i="3" s="1"/>
  <c r="G40" i="3" s="1"/>
  <c r="G17" i="3"/>
  <c r="G21" i="3" s="1"/>
  <c r="G52" i="3" s="1"/>
  <c r="G60" i="3" l="1"/>
  <c r="G57" i="3"/>
  <c r="G61" i="3"/>
  <c r="G58" i="3"/>
  <c r="G46" i="3"/>
  <c r="G47" i="3"/>
  <c r="G50" i="3"/>
  <c r="B37" i="3"/>
  <c r="G37" i="3" s="1"/>
  <c r="B39" i="3"/>
  <c r="G39" i="3" s="1"/>
  <c r="B42" i="3"/>
  <c r="G42" i="3" s="1"/>
  <c r="B38" i="3"/>
  <c r="G38" i="3" s="1"/>
  <c r="B35" i="3"/>
  <c r="G35" i="3" s="1"/>
  <c r="B41" i="3"/>
  <c r="G41" i="3" s="1"/>
  <c r="B36" i="3"/>
  <c r="G36" i="3" s="1"/>
  <c r="G29" i="3"/>
  <c r="G27" i="3"/>
  <c r="G31" i="3" l="1"/>
  <c r="G43" i="3"/>
  <c r="G59" i="3" l="1"/>
  <c r="G62" i="3" s="1"/>
  <c r="B67" i="3" s="1"/>
  <c r="B64" i="3"/>
  <c r="G54" i="3"/>
  <c r="B66" i="3" s="1"/>
  <c r="B68" i="3" l="1"/>
  <c r="G65" i="3" s="1"/>
  <c r="G66" i="3" s="1"/>
  <c r="G67" i="3" s="1"/>
</calcChain>
</file>

<file path=xl/sharedStrings.xml><?xml version="1.0" encoding="utf-8"?>
<sst xmlns="http://schemas.openxmlformats.org/spreadsheetml/2006/main" count="111" uniqueCount="85">
  <si>
    <t>Memorial de Cálculo</t>
  </si>
  <si>
    <t>Projeto</t>
  </si>
  <si>
    <t>Cód</t>
  </si>
  <si>
    <t>Logradouro</t>
  </si>
  <si>
    <t>Cidade</t>
  </si>
  <si>
    <t>Responsável pela análise</t>
  </si>
  <si>
    <t>Arq. Maurício Felzemburgh</t>
  </si>
  <si>
    <t>Reg.</t>
  </si>
  <si>
    <t xml:space="preserve"> CAU A40086-6</t>
  </si>
  <si>
    <t>-</t>
  </si>
  <si>
    <t>DATA DA ANÁLISE</t>
  </si>
  <si>
    <t>ASSINATURA</t>
  </si>
  <si>
    <t>ESTUDO PRELIMINAR DE VIABILIDADE</t>
  </si>
  <si>
    <t>BR 101</t>
  </si>
  <si>
    <t>Áreas Públicas Municipais</t>
  </si>
  <si>
    <t>Sistema Viário</t>
  </si>
  <si>
    <t>Áreas Privativas</t>
  </si>
  <si>
    <t>Área Total Urbanizada</t>
  </si>
  <si>
    <t>Unitário</t>
  </si>
  <si>
    <t>Total</t>
  </si>
  <si>
    <t>R$</t>
  </si>
  <si>
    <t>Despesas com ITBI</t>
  </si>
  <si>
    <t>Cartório e Escritura</t>
  </si>
  <si>
    <t>Resgistro de Imóveis</t>
  </si>
  <si>
    <t>Corretagem</t>
  </si>
  <si>
    <t>Aprovação e Projetos</t>
  </si>
  <si>
    <t>Topografia</t>
  </si>
  <si>
    <t>Limpeza</t>
  </si>
  <si>
    <t>Abertura de Vias</t>
  </si>
  <si>
    <t>Energia Elétrica/ Iluminação Pública</t>
  </si>
  <si>
    <t>Rede de Distribuição de Água</t>
  </si>
  <si>
    <t>Galerias de Águas Pluviais</t>
  </si>
  <si>
    <t>Esgoto Sanitário</t>
  </si>
  <si>
    <t>Pavimentação Asfáltica</t>
  </si>
  <si>
    <t>PIS/COFINS</t>
  </si>
  <si>
    <t>IRPJ</t>
  </si>
  <si>
    <t>Base de Cálculo</t>
  </si>
  <si>
    <t>Aliquota</t>
  </si>
  <si>
    <t>Adicional</t>
  </si>
  <si>
    <t>CSLL</t>
  </si>
  <si>
    <t>Alíquota</t>
  </si>
  <si>
    <t>IPTU</t>
  </si>
  <si>
    <t>VGV</t>
  </si>
  <si>
    <t>Marketing</t>
  </si>
  <si>
    <t>Taxa de administração</t>
  </si>
  <si>
    <t>Gestão de carteira</t>
  </si>
  <si>
    <t>Gestão de projetos</t>
  </si>
  <si>
    <t>Terreno</t>
  </si>
  <si>
    <t>Impostos</t>
  </si>
  <si>
    <t>Outros</t>
  </si>
  <si>
    <t>Custos</t>
  </si>
  <si>
    <t>Resultado</t>
  </si>
  <si>
    <t>Lucratividade</t>
  </si>
  <si>
    <t>IDENTIFICAÇÃO</t>
  </si>
  <si>
    <t>Verdes</t>
  </si>
  <si>
    <t>Institucionais</t>
  </si>
  <si>
    <r>
      <t>R$/m</t>
    </r>
    <r>
      <rPr>
        <vertAlign val="superscript"/>
        <sz val="8"/>
        <color theme="1"/>
        <rFont val="Arial"/>
        <family val="2"/>
      </rPr>
      <t>2</t>
    </r>
  </si>
  <si>
    <t>Valor Geral de Venda (VGV)</t>
  </si>
  <si>
    <t>Valor de Gleba Bruta (VGB)</t>
  </si>
  <si>
    <t>vb</t>
  </si>
  <si>
    <t>ÁREA (%)</t>
  </si>
  <si>
    <r>
      <t>ÁREA (m</t>
    </r>
    <r>
      <rPr>
        <b/>
        <vertAlign val="super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)</t>
    </r>
  </si>
  <si>
    <t>PERCENTUAL (%)</t>
  </si>
  <si>
    <t>VALOR (R$)</t>
  </si>
  <si>
    <t>CUSTO TOTAL (R$)</t>
  </si>
  <si>
    <r>
      <t>CUSTO UNITÁRIO (R$/m</t>
    </r>
    <r>
      <rPr>
        <b/>
        <vertAlign val="super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)</t>
    </r>
  </si>
  <si>
    <t>% do VGV</t>
  </si>
  <si>
    <t>VALOR RELACIONADO</t>
  </si>
  <si>
    <t xml:space="preserve">% </t>
  </si>
  <si>
    <t>DU</t>
  </si>
  <si>
    <t>3.0 VALOR GLOBAL DE VENDA (VGV)</t>
  </si>
  <si>
    <t>2.0 APROVEITAMENTO DE ÁREAS</t>
  </si>
  <si>
    <t>1.0 DADOS GERAIS</t>
  </si>
  <si>
    <t>4.0. VALOR DA GLEBA BRUTA (VGB)</t>
  </si>
  <si>
    <t>5.0 DESPESAS DE COMPRA OU TRANSFERÊNCIA (DC)</t>
  </si>
  <si>
    <t>6.0 DESPESAS DE URBANIZAÇÃO (DU)</t>
  </si>
  <si>
    <t xml:space="preserve">7.0 DESPESAS COM IMPOSTOS </t>
  </si>
  <si>
    <t>8.0 OUTROS GASTOS</t>
  </si>
  <si>
    <t>10.0 INDICADORES</t>
  </si>
  <si>
    <t>9.0 RESUMO DESPESAS</t>
  </si>
  <si>
    <t>11.0. OBSERVAÇÕES</t>
  </si>
  <si>
    <t>Infraestrutura</t>
  </si>
  <si>
    <t>LOTEAMENTO ITAPARICA</t>
  </si>
  <si>
    <t>LOT-001-2018</t>
  </si>
  <si>
    <t>Itaparica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</si>
</sst>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16]dd/mm/yy"/>
    <numFmt numFmtId="165" formatCode="[$-416]0"/>
    <numFmt numFmtId="166" formatCode="[$-416]General"/>
    <numFmt numFmtId="167" formatCode="[$R$-416]&quot; &quot;#,##0.00;[Red]&quot;-&quot;[$R$-416]&quot; &quot;#,##0.00"/>
    <numFmt numFmtId="168" formatCode="&quot;R$&quot;\ #,##0"/>
  </numFmts>
  <fonts count="15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1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vertAlign val="superscript"/>
      <sz val="8"/>
      <color rgb="FF000000"/>
      <name val="Arial"/>
      <family val="2"/>
    </font>
    <font>
      <vertAlign val="superscript"/>
      <sz val="8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8">
    <xf numFmtId="0" fontId="0" fillId="0" borderId="0"/>
    <xf numFmtId="166" fontId="2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167" fontId="4" fillId="0" borderId="0"/>
    <xf numFmtId="0" fontId="1" fillId="0" borderId="0"/>
    <xf numFmtId="43" fontId="1" fillId="0" borderId="0" applyFont="0" applyFill="0" applyBorder="0" applyAlignment="0" applyProtection="0"/>
  </cellStyleXfs>
  <cellXfs count="104">
    <xf numFmtId="0" fontId="0" fillId="0" borderId="0" xfId="0"/>
    <xf numFmtId="166" fontId="6" fillId="0" borderId="0" xfId="1" applyFont="1"/>
    <xf numFmtId="166" fontId="6" fillId="0" borderId="0" xfId="1" applyFont="1" applyAlignment="1">
      <alignment horizontal="center" vertical="center"/>
    </xf>
    <xf numFmtId="166" fontId="10" fillId="0" borderId="0" xfId="1" applyFont="1" applyAlignment="1">
      <alignment wrapText="1"/>
    </xf>
    <xf numFmtId="166" fontId="8" fillId="0" borderId="0" xfId="1" applyFont="1" applyAlignment="1">
      <alignment wrapText="1"/>
    </xf>
    <xf numFmtId="166" fontId="6" fillId="0" borderId="0" xfId="1" applyFont="1" applyAlignment="1">
      <alignment wrapText="1"/>
    </xf>
    <xf numFmtId="166" fontId="9" fillId="0" borderId="1" xfId="1" applyFont="1" applyFill="1" applyBorder="1" applyAlignment="1">
      <alignment horizontal="center" vertical="center" wrapText="1"/>
    </xf>
    <xf numFmtId="0" fontId="14" fillId="0" borderId="11" xfId="6" applyFont="1" applyBorder="1"/>
    <xf numFmtId="166" fontId="9" fillId="3" borderId="11" xfId="1" applyFont="1" applyFill="1" applyBorder="1" applyAlignment="1">
      <alignment vertical="center" wrapText="1"/>
    </xf>
    <xf numFmtId="166" fontId="9" fillId="0" borderId="2" xfId="1" applyFont="1" applyFill="1" applyBorder="1" applyAlignment="1">
      <alignment vertical="center" wrapText="1"/>
    </xf>
    <xf numFmtId="166" fontId="9" fillId="3" borderId="23" xfId="1" applyFont="1" applyFill="1" applyBorder="1" applyAlignment="1">
      <alignment horizontal="left" vertical="center" wrapText="1"/>
    </xf>
    <xf numFmtId="166" fontId="10" fillId="0" borderId="1" xfId="1" applyFont="1" applyFill="1" applyBorder="1" applyAlignment="1">
      <alignment horizontal="center" vertical="center" wrapText="1"/>
    </xf>
    <xf numFmtId="166" fontId="9" fillId="0" borderId="1" xfId="1" applyFont="1" applyFill="1" applyBorder="1" applyAlignment="1">
      <alignment horizontal="center" vertical="center" wrapText="1"/>
    </xf>
    <xf numFmtId="0" fontId="0" fillId="2" borderId="1" xfId="0" applyFill="1" applyBorder="1"/>
    <xf numFmtId="166" fontId="5" fillId="2" borderId="1" xfId="1" applyFont="1" applyFill="1" applyBorder="1" applyAlignment="1">
      <alignment horizontal="center" vertical="center" wrapText="1"/>
    </xf>
    <xf numFmtId="166" fontId="7" fillId="2" borderId="1" xfId="1" applyFont="1" applyFill="1" applyBorder="1" applyAlignment="1">
      <alignment horizontal="center" vertical="center" wrapText="1"/>
    </xf>
    <xf numFmtId="166" fontId="9" fillId="3" borderId="1" xfId="1" applyFont="1" applyFill="1" applyBorder="1" applyAlignment="1">
      <alignment horizontal="left" vertical="center" wrapText="1"/>
    </xf>
    <xf numFmtId="2" fontId="10" fillId="0" borderId="2" xfId="0" applyNumberFormat="1" applyFont="1" applyFill="1" applyBorder="1" applyAlignment="1">
      <alignment horizontal="center" vertical="center" wrapText="1"/>
    </xf>
    <xf numFmtId="2" fontId="10" fillId="0" borderId="3" xfId="0" applyNumberFormat="1" applyFont="1" applyFill="1" applyBorder="1" applyAlignment="1">
      <alignment horizontal="center" vertical="center" wrapText="1"/>
    </xf>
    <xf numFmtId="2" fontId="10" fillId="0" borderId="4" xfId="0" applyNumberFormat="1" applyFont="1" applyFill="1" applyBorder="1" applyAlignment="1">
      <alignment horizontal="center" vertical="center" wrapText="1"/>
    </xf>
    <xf numFmtId="4" fontId="11" fillId="0" borderId="11" xfId="6" applyNumberFormat="1" applyFont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" fontId="10" fillId="0" borderId="11" xfId="0" applyNumberFormat="1" applyFont="1" applyFill="1" applyBorder="1" applyAlignment="1">
      <alignment horizontal="center" vertical="center" wrapText="1"/>
    </xf>
    <xf numFmtId="166" fontId="9" fillId="3" borderId="13" xfId="1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" fontId="11" fillId="0" borderId="15" xfId="6" applyNumberFormat="1" applyFont="1" applyBorder="1" applyAlignment="1">
      <alignment horizontal="center" vertical="top" wrapText="1"/>
    </xf>
    <xf numFmtId="4" fontId="11" fillId="0" borderId="16" xfId="6" applyNumberFormat="1" applyFont="1" applyBorder="1" applyAlignment="1">
      <alignment horizontal="center" vertical="top" wrapText="1"/>
    </xf>
    <xf numFmtId="4" fontId="11" fillId="0" borderId="17" xfId="6" applyNumberFormat="1" applyFont="1" applyBorder="1" applyAlignment="1">
      <alignment horizontal="center" vertical="top" wrapText="1"/>
    </xf>
    <xf numFmtId="166" fontId="9" fillId="0" borderId="2" xfId="1" applyFont="1" applyFill="1" applyBorder="1" applyAlignment="1">
      <alignment horizontal="left" vertical="center" wrapText="1"/>
    </xf>
    <xf numFmtId="166" fontId="9" fillId="0" borderId="3" xfId="1" applyFont="1" applyFill="1" applyBorder="1" applyAlignment="1">
      <alignment horizontal="left" vertical="center" wrapText="1"/>
    </xf>
    <xf numFmtId="166" fontId="9" fillId="0" borderId="4" xfId="1" applyFont="1" applyFill="1" applyBorder="1" applyAlignment="1">
      <alignment horizontal="left" vertical="center" wrapText="1"/>
    </xf>
    <xf numFmtId="4" fontId="11" fillId="4" borderId="15" xfId="6" applyNumberFormat="1" applyFont="1" applyFill="1" applyBorder="1" applyAlignment="1">
      <alignment horizontal="center" vertical="top" wrapText="1"/>
    </xf>
    <xf numFmtId="4" fontId="11" fillId="4" borderId="16" xfId="6" applyNumberFormat="1" applyFont="1" applyFill="1" applyBorder="1" applyAlignment="1">
      <alignment horizontal="center" vertical="top" wrapText="1"/>
    </xf>
    <xf numFmtId="4" fontId="11" fillId="4" borderId="17" xfId="6" applyNumberFormat="1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center" wrapText="1"/>
    </xf>
    <xf numFmtId="166" fontId="9" fillId="3" borderId="11" xfId="1" applyFont="1" applyFill="1" applyBorder="1" applyAlignment="1">
      <alignment horizontal="center" vertical="center" wrapText="1"/>
    </xf>
    <xf numFmtId="165" fontId="9" fillId="0" borderId="5" xfId="1" applyNumberFormat="1" applyFont="1" applyBorder="1" applyAlignment="1">
      <alignment horizontal="center" vertical="center" wrapText="1"/>
    </xf>
    <xf numFmtId="165" fontId="9" fillId="0" borderId="8" xfId="1" applyNumberFormat="1" applyFont="1" applyBorder="1" applyAlignment="1">
      <alignment horizontal="center" vertical="center" wrapText="1"/>
    </xf>
    <xf numFmtId="0" fontId="0" fillId="0" borderId="1" xfId="0" applyFill="1" applyBorder="1"/>
    <xf numFmtId="164" fontId="10" fillId="0" borderId="1" xfId="1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166" fontId="9" fillId="0" borderId="1" xfId="1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vertical="top" wrapText="1"/>
    </xf>
    <xf numFmtId="166" fontId="9" fillId="3" borderId="32" xfId="1" applyFont="1" applyFill="1" applyBorder="1" applyAlignment="1">
      <alignment horizontal="center" vertical="center" wrapText="1"/>
    </xf>
    <xf numFmtId="166" fontId="9" fillId="3" borderId="25" xfId="1" applyFont="1" applyFill="1" applyBorder="1" applyAlignment="1">
      <alignment horizontal="center" vertical="center" wrapText="1"/>
    </xf>
    <xf numFmtId="166" fontId="9" fillId="3" borderId="31" xfId="1" applyFont="1" applyFill="1" applyBorder="1" applyAlignment="1">
      <alignment horizontal="center" vertical="center" wrapText="1"/>
    </xf>
    <xf numFmtId="166" fontId="9" fillId="3" borderId="28" xfId="1" applyFont="1" applyFill="1" applyBorder="1" applyAlignment="1">
      <alignment horizontal="center" vertical="center" wrapText="1"/>
    </xf>
    <xf numFmtId="168" fontId="10" fillId="0" borderId="4" xfId="0" applyNumberFormat="1" applyFont="1" applyFill="1" applyBorder="1" applyAlignment="1">
      <alignment horizontal="center" vertical="center" wrapText="1"/>
    </xf>
    <xf numFmtId="168" fontId="10" fillId="0" borderId="2" xfId="0" applyNumberFormat="1" applyFont="1" applyFill="1" applyBorder="1" applyAlignment="1">
      <alignment horizontal="center" vertical="center" wrapText="1"/>
    </xf>
    <xf numFmtId="168" fontId="10" fillId="0" borderId="1" xfId="0" applyNumberFormat="1" applyFont="1" applyFill="1" applyBorder="1" applyAlignment="1">
      <alignment horizontal="center" vertical="center" wrapText="1"/>
    </xf>
    <xf numFmtId="1" fontId="10" fillId="0" borderId="4" xfId="0" applyNumberFormat="1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4" fontId="10" fillId="0" borderId="11" xfId="0" applyNumberFormat="1" applyFont="1" applyFill="1" applyBorder="1" applyAlignment="1">
      <alignment horizontal="center" vertical="center" wrapText="1"/>
    </xf>
    <xf numFmtId="1" fontId="10" fillId="0" borderId="2" xfId="0" applyNumberFormat="1" applyFont="1" applyFill="1" applyBorder="1" applyAlignment="1">
      <alignment horizontal="center" vertical="center" wrapText="1"/>
    </xf>
    <xf numFmtId="1" fontId="10" fillId="0" borderId="3" xfId="0" applyNumberFormat="1" applyFont="1" applyFill="1" applyBorder="1" applyAlignment="1">
      <alignment horizontal="center" vertical="center" wrapText="1"/>
    </xf>
    <xf numFmtId="4" fontId="10" fillId="4" borderId="11" xfId="0" applyNumberFormat="1" applyFont="1" applyFill="1" applyBorder="1" applyAlignment="1">
      <alignment horizontal="center" vertical="center" wrapText="1"/>
    </xf>
    <xf numFmtId="1" fontId="9" fillId="0" borderId="8" xfId="0" applyNumberFormat="1" applyFont="1" applyFill="1" applyBorder="1" applyAlignment="1">
      <alignment horizontal="center" vertical="center" wrapText="1"/>
    </xf>
    <xf numFmtId="1" fontId="9" fillId="0" borderId="9" xfId="0" applyNumberFormat="1" applyFont="1" applyFill="1" applyBorder="1" applyAlignment="1">
      <alignment horizontal="center" vertical="center" wrapText="1"/>
    </xf>
    <xf numFmtId="1" fontId="9" fillId="0" borderId="19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4" fontId="11" fillId="0" borderId="23" xfId="6" applyNumberFormat="1" applyFont="1" applyBorder="1" applyAlignment="1">
      <alignment horizontal="center"/>
    </xf>
    <xf numFmtId="0" fontId="11" fillId="0" borderId="17" xfId="6" applyFont="1" applyBorder="1" applyAlignment="1">
      <alignment horizontal="center"/>
    </xf>
    <xf numFmtId="4" fontId="11" fillId="4" borderId="24" xfId="6" applyNumberFormat="1" applyFont="1" applyFill="1" applyBorder="1" applyAlignment="1">
      <alignment horizontal="center"/>
    </xf>
    <xf numFmtId="4" fontId="11" fillId="4" borderId="25" xfId="6" applyNumberFormat="1" applyFont="1" applyFill="1" applyBorder="1" applyAlignment="1">
      <alignment horizontal="center"/>
    </xf>
    <xf numFmtId="4" fontId="11" fillId="4" borderId="26" xfId="6" applyNumberFormat="1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166" fontId="9" fillId="3" borderId="23" xfId="1" applyFont="1" applyFill="1" applyBorder="1" applyAlignment="1">
      <alignment horizontal="left" vertical="center" wrapText="1"/>
    </xf>
    <xf numFmtId="166" fontId="9" fillId="3" borderId="16" xfId="1" applyFont="1" applyFill="1" applyBorder="1" applyAlignment="1">
      <alignment horizontal="left" vertical="center" wrapText="1"/>
    </xf>
    <xf numFmtId="166" fontId="9" fillId="3" borderId="17" xfId="1" applyFont="1" applyFill="1" applyBorder="1" applyAlignment="1">
      <alignment horizontal="left" vertical="center" wrapText="1"/>
    </xf>
    <xf numFmtId="166" fontId="9" fillId="3" borderId="22" xfId="1" applyFont="1" applyFill="1" applyBorder="1" applyAlignment="1">
      <alignment horizontal="center" vertical="center" wrapText="1"/>
    </xf>
    <xf numFmtId="166" fontId="9" fillId="3" borderId="20" xfId="1" applyFont="1" applyFill="1" applyBorder="1" applyAlignment="1">
      <alignment horizontal="center" vertical="center" wrapText="1"/>
    </xf>
    <xf numFmtId="0" fontId="14" fillId="0" borderId="11" xfId="6" applyFont="1" applyBorder="1" applyAlignment="1">
      <alignment horizontal="left"/>
    </xf>
    <xf numFmtId="0" fontId="11" fillId="0" borderId="11" xfId="6" applyFont="1" applyBorder="1" applyAlignment="1">
      <alignment horizontal="center"/>
    </xf>
    <xf numFmtId="1" fontId="9" fillId="0" borderId="11" xfId="0" applyNumberFormat="1" applyFont="1" applyFill="1" applyBorder="1" applyAlignment="1">
      <alignment horizontal="center" vertical="center" wrapText="1"/>
    </xf>
    <xf numFmtId="0" fontId="14" fillId="0" borderId="11" xfId="6" applyFont="1" applyBorder="1" applyAlignment="1">
      <alignment horizontal="left" vertical="center"/>
    </xf>
    <xf numFmtId="4" fontId="11" fillId="0" borderId="11" xfId="6" applyNumberFormat="1" applyFont="1" applyBorder="1" applyAlignment="1">
      <alignment horizontal="center"/>
    </xf>
    <xf numFmtId="4" fontId="11" fillId="0" borderId="11" xfId="6" applyNumberFormat="1" applyFont="1" applyBorder="1" applyAlignment="1">
      <alignment horizontal="center" vertical="center" wrapText="1"/>
    </xf>
    <xf numFmtId="166" fontId="9" fillId="3" borderId="3" xfId="1" applyFont="1" applyFill="1" applyBorder="1" applyAlignment="1">
      <alignment horizontal="center" vertical="center" wrapText="1"/>
    </xf>
    <xf numFmtId="0" fontId="14" fillId="0" borderId="11" xfId="6" applyFont="1" applyBorder="1" applyAlignment="1">
      <alignment horizontal="center"/>
    </xf>
    <xf numFmtId="10" fontId="14" fillId="0" borderId="32" xfId="6" applyNumberFormat="1" applyFont="1" applyBorder="1" applyAlignment="1">
      <alignment horizontal="center" vertical="center"/>
    </xf>
    <xf numFmtId="10" fontId="14" fillId="0" borderId="28" xfId="6" applyNumberFormat="1" applyFont="1" applyBorder="1" applyAlignment="1">
      <alignment horizontal="center" vertical="center"/>
    </xf>
    <xf numFmtId="10" fontId="14" fillId="0" borderId="29" xfId="6" applyNumberFormat="1" applyFont="1" applyBorder="1" applyAlignment="1">
      <alignment horizontal="center" vertical="center"/>
    </xf>
    <xf numFmtId="10" fontId="14" fillId="0" borderId="8" xfId="6" applyNumberFormat="1" applyFont="1" applyBorder="1" applyAlignment="1">
      <alignment horizontal="center" vertical="center"/>
    </xf>
    <xf numFmtId="10" fontId="14" fillId="0" borderId="9" xfId="6" applyNumberFormat="1" applyFont="1" applyBorder="1" applyAlignment="1">
      <alignment horizontal="center" vertical="center"/>
    </xf>
    <xf numFmtId="10" fontId="14" fillId="0" borderId="19" xfId="6" applyNumberFormat="1" applyFont="1" applyBorder="1" applyAlignment="1">
      <alignment horizontal="center" vertical="center"/>
    </xf>
    <xf numFmtId="10" fontId="11" fillId="0" borderId="27" xfId="6" applyNumberFormat="1" applyFont="1" applyBorder="1" applyAlignment="1">
      <alignment horizontal="center" vertical="center" wrapText="1"/>
    </xf>
    <xf numFmtId="10" fontId="11" fillId="0" borderId="28" xfId="6" applyNumberFormat="1" applyFont="1" applyBorder="1" applyAlignment="1">
      <alignment horizontal="center" vertical="center" wrapText="1"/>
    </xf>
    <xf numFmtId="10" fontId="11" fillId="0" borderId="29" xfId="6" applyNumberFormat="1" applyFont="1" applyBorder="1" applyAlignment="1">
      <alignment horizontal="center" vertical="center" wrapText="1"/>
    </xf>
    <xf numFmtId="10" fontId="11" fillId="0" borderId="30" xfId="6" applyNumberFormat="1" applyFont="1" applyBorder="1" applyAlignment="1">
      <alignment horizontal="center" vertical="center" wrapText="1"/>
    </xf>
    <xf numFmtId="10" fontId="11" fillId="0" borderId="9" xfId="6" applyNumberFormat="1" applyFont="1" applyBorder="1" applyAlignment="1">
      <alignment horizontal="center" vertical="center" wrapText="1"/>
    </xf>
    <xf numFmtId="10" fontId="11" fillId="0" borderId="19" xfId="6" applyNumberFormat="1" applyFont="1" applyBorder="1" applyAlignment="1">
      <alignment horizontal="center" vertical="center" wrapText="1"/>
    </xf>
  </cellXfs>
  <cellStyles count="8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Normal 2" xfId="6" xr:uid="{00000000-0005-0000-0000-000004000000}"/>
    <cellStyle name="Result" xfId="4" xr:uid="{00000000-0005-0000-0000-000005000000}"/>
    <cellStyle name="Result2" xfId="5" xr:uid="{00000000-0005-0000-0000-000006000000}"/>
    <cellStyle name="Vírgula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229"/>
  <sheetViews>
    <sheetView tabSelected="1" view="pageBreakPreview" zoomScale="90" zoomScaleNormal="100" zoomScaleSheetLayoutView="90" workbookViewId="0">
      <selection activeCell="D17" sqref="D17:F17"/>
    </sheetView>
  </sheetViews>
  <sheetFormatPr defaultRowHeight="15"/>
  <cols>
    <col min="1" max="1" width="40.5703125" style="1" customWidth="1"/>
    <col min="2" max="2" width="12.28515625" style="1" customWidth="1"/>
    <col min="3" max="3" width="13.140625" style="1" customWidth="1"/>
    <col min="4" max="4" width="5.7109375" style="1" customWidth="1"/>
    <col min="5" max="5" width="9" style="1" customWidth="1"/>
    <col min="6" max="6" width="6.42578125" style="1" customWidth="1"/>
    <col min="7" max="7" width="5.140625" style="1" customWidth="1"/>
    <col min="8" max="8" width="1.7109375" style="1" customWidth="1"/>
    <col min="9" max="9" width="4.140625" style="1" customWidth="1"/>
    <col min="10" max="10" width="5.28515625" style="1" customWidth="1"/>
    <col min="11" max="11" width="5.42578125" style="1" customWidth="1"/>
    <col min="12" max="12" width="10.42578125" style="1" customWidth="1"/>
    <col min="13" max="1022" width="9.7109375" style="1" customWidth="1"/>
    <col min="1023" max="1023" width="9.7109375" customWidth="1"/>
  </cols>
  <sheetData>
    <row r="1" spans="1:12" ht="4.5" customHeight="1">
      <c r="A1" s="13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.75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8.7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12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15.75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ht="14.25" customHeight="1">
      <c r="A6" s="15" t="s">
        <v>12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1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>
      <c r="A8" s="16" t="s">
        <v>72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ht="25.5" customHeight="1">
      <c r="A9" s="6" t="s">
        <v>1</v>
      </c>
      <c r="B9" s="11" t="s">
        <v>82</v>
      </c>
      <c r="C9" s="11"/>
      <c r="D9" s="11"/>
      <c r="E9" s="11"/>
      <c r="F9" s="11"/>
      <c r="G9" s="11"/>
      <c r="H9" s="11"/>
      <c r="I9" s="12" t="s">
        <v>2</v>
      </c>
      <c r="J9" s="12"/>
      <c r="K9" s="12" t="s">
        <v>83</v>
      </c>
      <c r="L9" s="12"/>
    </row>
    <row r="10" spans="1:12" ht="24" customHeight="1">
      <c r="A10" s="6" t="s">
        <v>3</v>
      </c>
      <c r="B10" s="11" t="s">
        <v>13</v>
      </c>
      <c r="C10" s="11"/>
      <c r="D10" s="11"/>
      <c r="E10" s="11"/>
      <c r="F10" s="11"/>
      <c r="G10" s="11"/>
      <c r="H10" s="11"/>
      <c r="I10" s="12" t="s">
        <v>4</v>
      </c>
      <c r="J10" s="12"/>
      <c r="K10" s="12" t="s">
        <v>84</v>
      </c>
      <c r="L10" s="12"/>
    </row>
    <row r="11" spans="1:12" ht="23.25" customHeight="1">
      <c r="A11" s="6" t="s">
        <v>5</v>
      </c>
      <c r="B11" s="11" t="s">
        <v>6</v>
      </c>
      <c r="C11" s="11"/>
      <c r="D11" s="11"/>
      <c r="E11" s="11"/>
      <c r="F11" s="11"/>
      <c r="G11" s="11"/>
      <c r="H11" s="11"/>
      <c r="I11" s="12" t="s">
        <v>7</v>
      </c>
      <c r="J11" s="12"/>
      <c r="K11" s="12" t="s">
        <v>8</v>
      </c>
      <c r="L11" s="12"/>
    </row>
    <row r="12" spans="1:12">
      <c r="A12" s="25" t="s">
        <v>71</v>
      </c>
      <c r="B12" s="25"/>
      <c r="C12" s="25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5" customHeight="1">
      <c r="A13" s="42" t="s">
        <v>53</v>
      </c>
      <c r="B13" s="42"/>
      <c r="C13" s="42"/>
      <c r="D13" s="22" t="s">
        <v>60</v>
      </c>
      <c r="E13" s="22"/>
      <c r="F13" s="23"/>
      <c r="G13" s="41" t="s">
        <v>61</v>
      </c>
      <c r="H13" s="22"/>
      <c r="I13" s="22"/>
      <c r="J13" s="22"/>
      <c r="K13" s="22"/>
      <c r="L13" s="23"/>
    </row>
    <row r="14" spans="1:12">
      <c r="A14" s="30" t="s">
        <v>14</v>
      </c>
      <c r="B14" s="26" t="s">
        <v>54</v>
      </c>
      <c r="C14" s="27"/>
      <c r="D14" s="47">
        <v>10</v>
      </c>
      <c r="E14" s="48"/>
      <c r="F14" s="49"/>
      <c r="G14" s="32">
        <f>G$18*D14/100</f>
        <v>25511.562000000002</v>
      </c>
      <c r="H14" s="33"/>
      <c r="I14" s="33"/>
      <c r="J14" s="33"/>
      <c r="K14" s="33"/>
      <c r="L14" s="34"/>
    </row>
    <row r="15" spans="1:12">
      <c r="A15" s="31"/>
      <c r="B15" s="28" t="s">
        <v>55</v>
      </c>
      <c r="C15" s="29"/>
      <c r="D15" s="47">
        <v>5</v>
      </c>
      <c r="E15" s="48"/>
      <c r="F15" s="49"/>
      <c r="G15" s="32">
        <f t="shared" ref="G15:G17" si="0">G$18*D15/100</f>
        <v>12755.781000000001</v>
      </c>
      <c r="H15" s="33"/>
      <c r="I15" s="33"/>
      <c r="J15" s="33"/>
      <c r="K15" s="33"/>
      <c r="L15" s="34"/>
    </row>
    <row r="16" spans="1:12" ht="15" customHeight="1">
      <c r="A16" s="35" t="s">
        <v>15</v>
      </c>
      <c r="B16" s="36"/>
      <c r="C16" s="37"/>
      <c r="D16" s="47">
        <v>27</v>
      </c>
      <c r="E16" s="48"/>
      <c r="F16" s="49"/>
      <c r="G16" s="32">
        <f t="shared" si="0"/>
        <v>68881.217400000009</v>
      </c>
      <c r="H16" s="33"/>
      <c r="I16" s="33"/>
      <c r="J16" s="33"/>
      <c r="K16" s="33"/>
      <c r="L16" s="34"/>
    </row>
    <row r="17" spans="1:12" ht="14.1" customHeight="1">
      <c r="A17" s="35" t="s">
        <v>16</v>
      </c>
      <c r="B17" s="36"/>
      <c r="C17" s="37"/>
      <c r="D17" s="47">
        <v>58</v>
      </c>
      <c r="E17" s="48"/>
      <c r="F17" s="49"/>
      <c r="G17" s="32">
        <f t="shared" si="0"/>
        <v>147967.05959999998</v>
      </c>
      <c r="H17" s="33"/>
      <c r="I17" s="33"/>
      <c r="J17" s="33"/>
      <c r="K17" s="33"/>
      <c r="L17" s="34"/>
    </row>
    <row r="18" spans="1:12">
      <c r="A18" s="35" t="s">
        <v>17</v>
      </c>
      <c r="B18" s="36"/>
      <c r="C18" s="37"/>
      <c r="D18" s="47">
        <v>100</v>
      </c>
      <c r="E18" s="48"/>
      <c r="F18" s="49"/>
      <c r="G18" s="38">
        <v>255115.62</v>
      </c>
      <c r="H18" s="39"/>
      <c r="I18" s="39"/>
      <c r="J18" s="39"/>
      <c r="K18" s="39"/>
      <c r="L18" s="40"/>
    </row>
    <row r="19" spans="1:12">
      <c r="A19" s="16" t="s">
        <v>70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>
      <c r="A20" s="43" t="s">
        <v>57</v>
      </c>
      <c r="B20" s="21" t="s">
        <v>18</v>
      </c>
      <c r="C20" s="21"/>
      <c r="D20" s="64" t="s">
        <v>56</v>
      </c>
      <c r="E20" s="65"/>
      <c r="F20" s="59"/>
      <c r="G20" s="60">
        <v>200</v>
      </c>
      <c r="H20" s="61"/>
      <c r="I20" s="61"/>
      <c r="J20" s="61"/>
      <c r="K20" s="61"/>
      <c r="L20" s="62"/>
    </row>
    <row r="21" spans="1:12">
      <c r="A21" s="44"/>
      <c r="B21" s="21" t="s">
        <v>19</v>
      </c>
      <c r="C21" s="21"/>
      <c r="D21" s="64" t="s">
        <v>20</v>
      </c>
      <c r="E21" s="65"/>
      <c r="F21" s="65"/>
      <c r="G21" s="63">
        <f>G20*EPV!G17</f>
        <v>29593411.919999994</v>
      </c>
      <c r="H21" s="63"/>
      <c r="I21" s="63"/>
      <c r="J21" s="63"/>
      <c r="K21" s="63"/>
      <c r="L21" s="63"/>
    </row>
    <row r="22" spans="1:12">
      <c r="A22" s="16" t="s">
        <v>73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>
      <c r="A23" s="43" t="s">
        <v>58</v>
      </c>
      <c r="B23" s="21" t="s">
        <v>18</v>
      </c>
      <c r="C23" s="21"/>
      <c r="D23" s="64" t="s">
        <v>56</v>
      </c>
      <c r="E23" s="65"/>
      <c r="F23" s="59"/>
      <c r="G23" s="60">
        <v>20</v>
      </c>
      <c r="H23" s="61"/>
      <c r="I23" s="61"/>
      <c r="J23" s="61"/>
      <c r="K23" s="61"/>
      <c r="L23" s="62"/>
    </row>
    <row r="24" spans="1:12">
      <c r="A24" s="44"/>
      <c r="B24" s="21" t="s">
        <v>19</v>
      </c>
      <c r="C24" s="21"/>
      <c r="D24" s="64" t="s">
        <v>20</v>
      </c>
      <c r="E24" s="65"/>
      <c r="F24" s="65"/>
      <c r="G24" s="63">
        <f>G23*EPV!G18</f>
        <v>5102312.4000000004</v>
      </c>
      <c r="H24" s="63"/>
      <c r="I24" s="63"/>
      <c r="J24" s="63"/>
      <c r="K24" s="63"/>
      <c r="L24" s="63"/>
    </row>
    <row r="25" spans="1:12">
      <c r="A25" s="16" t="s">
        <v>74</v>
      </c>
      <c r="B25" s="16"/>
      <c r="C25" s="16"/>
      <c r="D25" s="25"/>
      <c r="E25" s="25"/>
      <c r="F25" s="25"/>
      <c r="G25" s="16"/>
      <c r="H25" s="16"/>
      <c r="I25" s="16"/>
      <c r="J25" s="16"/>
      <c r="K25" s="16"/>
      <c r="L25" s="16"/>
    </row>
    <row r="26" spans="1:12" ht="15" customHeight="1">
      <c r="A26" s="42" t="s">
        <v>53</v>
      </c>
      <c r="B26" s="42"/>
      <c r="C26" s="42"/>
      <c r="D26" s="70" t="s">
        <v>62</v>
      </c>
      <c r="E26" s="70"/>
      <c r="F26" s="70"/>
      <c r="G26" s="22" t="s">
        <v>63</v>
      </c>
      <c r="H26" s="22"/>
      <c r="I26" s="22"/>
      <c r="J26" s="22"/>
      <c r="K26" s="22"/>
      <c r="L26" s="23"/>
    </row>
    <row r="27" spans="1:12">
      <c r="A27" s="35" t="s">
        <v>21</v>
      </c>
      <c r="B27" s="36" t="s">
        <v>18</v>
      </c>
      <c r="C27" s="36"/>
      <c r="D27" s="17">
        <v>3</v>
      </c>
      <c r="E27" s="18"/>
      <c r="F27" s="19"/>
      <c r="G27" s="63">
        <f>(D27/100)*G$24</f>
        <v>153069.372</v>
      </c>
      <c r="H27" s="63"/>
      <c r="I27" s="63"/>
      <c r="J27" s="63"/>
      <c r="K27" s="63"/>
      <c r="L27" s="63"/>
    </row>
    <row r="28" spans="1:12">
      <c r="A28" s="35" t="s">
        <v>22</v>
      </c>
      <c r="B28" s="36"/>
      <c r="C28" s="36"/>
      <c r="D28" s="24" t="s">
        <v>59</v>
      </c>
      <c r="E28" s="24"/>
      <c r="F28" s="24"/>
      <c r="G28" s="66">
        <f>10000*1.09</f>
        <v>10900</v>
      </c>
      <c r="H28" s="66"/>
      <c r="I28" s="66"/>
      <c r="J28" s="66"/>
      <c r="K28" s="66"/>
      <c r="L28" s="66"/>
    </row>
    <row r="29" spans="1:12">
      <c r="A29" s="35" t="s">
        <v>23</v>
      </c>
      <c r="B29" s="36"/>
      <c r="C29" s="36"/>
      <c r="D29" s="17">
        <v>1</v>
      </c>
      <c r="E29" s="18"/>
      <c r="F29" s="19"/>
      <c r="G29" s="63">
        <f>(D29/100)*G$24</f>
        <v>51023.124000000003</v>
      </c>
      <c r="H29" s="63"/>
      <c r="I29" s="63"/>
      <c r="J29" s="63"/>
      <c r="K29" s="63"/>
      <c r="L29" s="63"/>
    </row>
    <row r="30" spans="1:12">
      <c r="A30" s="35" t="s">
        <v>24</v>
      </c>
      <c r="B30" s="36"/>
      <c r="C30" s="36"/>
      <c r="D30" s="24" t="s">
        <v>9</v>
      </c>
      <c r="E30" s="24"/>
      <c r="F30" s="24"/>
      <c r="G30" s="66" t="s">
        <v>9</v>
      </c>
      <c r="H30" s="66"/>
      <c r="I30" s="66"/>
      <c r="J30" s="66"/>
      <c r="K30" s="66"/>
      <c r="L30" s="66"/>
    </row>
    <row r="31" spans="1:12">
      <c r="A31" s="67" t="s">
        <v>19</v>
      </c>
      <c r="B31" s="68"/>
      <c r="C31" s="68"/>
      <c r="D31" s="68"/>
      <c r="E31" s="68"/>
      <c r="F31" s="69"/>
      <c r="G31" s="63">
        <f>SUM(G27:L30)</f>
        <v>214992.49600000001</v>
      </c>
      <c r="H31" s="63"/>
      <c r="I31" s="63"/>
      <c r="J31" s="63"/>
      <c r="K31" s="63"/>
      <c r="L31" s="63"/>
    </row>
    <row r="32" spans="1:12">
      <c r="A32" s="16" t="s">
        <v>75</v>
      </c>
      <c r="B32" s="16"/>
      <c r="C32" s="16"/>
      <c r="D32" s="25"/>
      <c r="E32" s="25"/>
      <c r="F32" s="25"/>
      <c r="G32" s="16"/>
      <c r="H32" s="16"/>
      <c r="I32" s="16"/>
      <c r="J32" s="16"/>
      <c r="K32" s="16"/>
      <c r="L32" s="16"/>
    </row>
    <row r="33" spans="1:19" ht="22.5" customHeight="1">
      <c r="A33" s="8" t="s">
        <v>53</v>
      </c>
      <c r="B33" s="82" t="s">
        <v>61</v>
      </c>
      <c r="C33" s="83"/>
      <c r="D33" s="70" t="s">
        <v>65</v>
      </c>
      <c r="E33" s="70"/>
      <c r="F33" s="70"/>
      <c r="G33" s="22" t="s">
        <v>64</v>
      </c>
      <c r="H33" s="22"/>
      <c r="I33" s="22"/>
      <c r="J33" s="22"/>
      <c r="K33" s="22"/>
      <c r="L33" s="23"/>
    </row>
    <row r="34" spans="1:19" ht="15" customHeight="1">
      <c r="A34" s="9" t="s">
        <v>25</v>
      </c>
      <c r="B34" s="71">
        <f>G18</f>
        <v>255115.62</v>
      </c>
      <c r="C34" s="72"/>
      <c r="D34" s="73">
        <v>1.0900000000000001</v>
      </c>
      <c r="E34" s="74"/>
      <c r="F34" s="75"/>
      <c r="G34" s="63">
        <f>D34*B34</f>
        <v>278076.0258</v>
      </c>
      <c r="H34" s="63"/>
      <c r="I34" s="63"/>
      <c r="J34" s="63"/>
      <c r="K34" s="63"/>
      <c r="L34" s="63"/>
      <c r="P34" s="1">
        <f>11000+9700+14600+11700</f>
        <v>47000</v>
      </c>
    </row>
    <row r="35" spans="1:19" ht="15" customHeight="1">
      <c r="A35" s="9" t="s">
        <v>26</v>
      </c>
      <c r="B35" s="71">
        <f>G17</f>
        <v>147967.05959999998</v>
      </c>
      <c r="C35" s="72"/>
      <c r="D35" s="73">
        <v>0.33</v>
      </c>
      <c r="E35" s="74"/>
      <c r="F35" s="75"/>
      <c r="G35" s="63">
        <f t="shared" ref="G35:G42" si="1">D35*B35</f>
        <v>48829.129667999994</v>
      </c>
      <c r="H35" s="63"/>
      <c r="I35" s="63"/>
      <c r="J35" s="63"/>
      <c r="K35" s="63"/>
      <c r="L35" s="63"/>
      <c r="P35" s="1">
        <v>300834.48</v>
      </c>
    </row>
    <row r="36" spans="1:19" ht="15" customHeight="1">
      <c r="A36" s="9" t="s">
        <v>27</v>
      </c>
      <c r="B36" s="71">
        <f>G17</f>
        <v>147967.05959999998</v>
      </c>
      <c r="C36" s="72"/>
      <c r="D36" s="73">
        <v>0.23</v>
      </c>
      <c r="E36" s="74"/>
      <c r="F36" s="75"/>
      <c r="G36" s="63">
        <f t="shared" si="1"/>
        <v>34032.423707999995</v>
      </c>
      <c r="H36" s="63"/>
      <c r="I36" s="63"/>
      <c r="J36" s="63"/>
      <c r="K36" s="63"/>
      <c r="L36" s="63"/>
    </row>
    <row r="37" spans="1:19" ht="15" customHeight="1">
      <c r="A37" s="9" t="s">
        <v>28</v>
      </c>
      <c r="B37" s="71">
        <f>G$16</f>
        <v>68881.217400000009</v>
      </c>
      <c r="C37" s="72"/>
      <c r="D37" s="73">
        <v>3.49</v>
      </c>
      <c r="E37" s="74"/>
      <c r="F37" s="75"/>
      <c r="G37" s="63">
        <f t="shared" si="1"/>
        <v>240395.44872600003</v>
      </c>
      <c r="H37" s="63"/>
      <c r="I37" s="63"/>
      <c r="J37" s="63"/>
      <c r="K37" s="63"/>
      <c r="L37" s="63"/>
      <c r="P37" s="1">
        <f>P34/P35</f>
        <v>0.15623209148100312</v>
      </c>
      <c r="Q37" s="1">
        <f>D34-P37</f>
        <v>0.93376790851899694</v>
      </c>
      <c r="R37" s="1">
        <f>96000/P35</f>
        <v>0.31911235706758084</v>
      </c>
      <c r="S37" s="1">
        <f>R37*G18</f>
        <v>81410.546822957273</v>
      </c>
    </row>
    <row r="38" spans="1:19" ht="15" customHeight="1">
      <c r="A38" s="9" t="s">
        <v>29</v>
      </c>
      <c r="B38" s="71">
        <f t="shared" ref="B38:B42" si="2">G$16</f>
        <v>68881.217400000009</v>
      </c>
      <c r="C38" s="72"/>
      <c r="D38" s="73">
        <v>21.8</v>
      </c>
      <c r="E38" s="74"/>
      <c r="F38" s="75"/>
      <c r="G38" s="63">
        <f t="shared" si="1"/>
        <v>1501610.5393200002</v>
      </c>
      <c r="H38" s="63"/>
      <c r="I38" s="63"/>
      <c r="J38" s="63"/>
      <c r="K38" s="63"/>
      <c r="L38" s="63"/>
    </row>
    <row r="39" spans="1:19" ht="15" customHeight="1">
      <c r="A39" s="9" t="s">
        <v>30</v>
      </c>
      <c r="B39" s="71">
        <f t="shared" si="2"/>
        <v>68881.217400000009</v>
      </c>
      <c r="C39" s="72"/>
      <c r="D39" s="73">
        <v>19.62</v>
      </c>
      <c r="E39" s="74"/>
      <c r="F39" s="75"/>
      <c r="G39" s="63">
        <f t="shared" si="1"/>
        <v>1351449.4853880003</v>
      </c>
      <c r="H39" s="63"/>
      <c r="I39" s="63"/>
      <c r="J39" s="63"/>
      <c r="K39" s="63"/>
      <c r="L39" s="63"/>
    </row>
    <row r="40" spans="1:19" ht="15" customHeight="1">
      <c r="A40" s="9" t="s">
        <v>31</v>
      </c>
      <c r="B40" s="71">
        <f t="shared" si="2"/>
        <v>68881.217400000009</v>
      </c>
      <c r="C40" s="72"/>
      <c r="D40" s="73">
        <v>17.440000000000001</v>
      </c>
      <c r="E40" s="74"/>
      <c r="F40" s="75"/>
      <c r="G40" s="63">
        <f t="shared" si="1"/>
        <v>1201288.4314560003</v>
      </c>
      <c r="H40" s="63"/>
      <c r="I40" s="63"/>
      <c r="J40" s="63"/>
      <c r="K40" s="63"/>
      <c r="L40" s="63"/>
    </row>
    <row r="41" spans="1:19">
      <c r="A41" s="9" t="s">
        <v>32</v>
      </c>
      <c r="B41" s="71">
        <f t="shared" si="2"/>
        <v>68881.217400000009</v>
      </c>
      <c r="C41" s="72"/>
      <c r="D41" s="73">
        <v>15.07</v>
      </c>
      <c r="E41" s="74"/>
      <c r="F41" s="75"/>
      <c r="G41" s="63">
        <f t="shared" si="1"/>
        <v>1038039.9462180001</v>
      </c>
      <c r="H41" s="63"/>
      <c r="I41" s="63"/>
      <c r="J41" s="63"/>
      <c r="K41" s="63"/>
      <c r="L41" s="63"/>
    </row>
    <row r="42" spans="1:19">
      <c r="A42" s="9" t="s">
        <v>33</v>
      </c>
      <c r="B42" s="71">
        <f t="shared" si="2"/>
        <v>68881.217400000009</v>
      </c>
      <c r="C42" s="72"/>
      <c r="D42" s="73">
        <v>109</v>
      </c>
      <c r="E42" s="74"/>
      <c r="F42" s="75"/>
      <c r="G42" s="63">
        <f t="shared" si="1"/>
        <v>7508052.6966000013</v>
      </c>
      <c r="H42" s="63"/>
      <c r="I42" s="63"/>
      <c r="J42" s="63"/>
      <c r="K42" s="63"/>
      <c r="L42" s="63"/>
    </row>
    <row r="43" spans="1:19">
      <c r="A43" s="67" t="s">
        <v>19</v>
      </c>
      <c r="B43" s="68"/>
      <c r="C43" s="68"/>
      <c r="D43" s="68"/>
      <c r="E43" s="68"/>
      <c r="F43" s="69"/>
      <c r="G43" s="63">
        <f>SUM(G34:L42)</f>
        <v>13201774.126884002</v>
      </c>
      <c r="H43" s="63"/>
      <c r="I43" s="63"/>
      <c r="J43" s="63"/>
      <c r="K43" s="63"/>
      <c r="L43" s="63"/>
    </row>
    <row r="44" spans="1:19">
      <c r="A44" s="16" t="s">
        <v>76</v>
      </c>
      <c r="B44" s="16"/>
      <c r="C44" s="16"/>
      <c r="D44" s="25"/>
      <c r="E44" s="25"/>
      <c r="F44" s="25"/>
      <c r="G44" s="16"/>
      <c r="H44" s="16"/>
      <c r="I44" s="16"/>
      <c r="J44" s="16"/>
      <c r="K44" s="16"/>
      <c r="L44" s="16"/>
    </row>
    <row r="45" spans="1:19" ht="15" customHeight="1">
      <c r="A45" s="79" t="s">
        <v>53</v>
      </c>
      <c r="B45" s="80"/>
      <c r="C45" s="81"/>
      <c r="D45" s="76" t="s">
        <v>66</v>
      </c>
      <c r="E45" s="76"/>
      <c r="F45" s="76"/>
      <c r="G45" s="77" t="s">
        <v>64</v>
      </c>
      <c r="H45" s="77"/>
      <c r="I45" s="77"/>
      <c r="J45" s="77"/>
      <c r="K45" s="77"/>
      <c r="L45" s="78"/>
    </row>
    <row r="46" spans="1:19" ht="15" customHeight="1">
      <c r="A46" s="84" t="s">
        <v>34</v>
      </c>
      <c r="B46" s="84"/>
      <c r="C46" s="84"/>
      <c r="D46" s="17">
        <v>3.65</v>
      </c>
      <c r="E46" s="18"/>
      <c r="F46" s="19"/>
      <c r="G46" s="88">
        <f>(D46/100)*G$21</f>
        <v>1080159.5350799998</v>
      </c>
      <c r="H46" s="88"/>
      <c r="I46" s="88"/>
      <c r="J46" s="88"/>
      <c r="K46" s="88"/>
      <c r="L46" s="88"/>
    </row>
    <row r="47" spans="1:19" ht="15" customHeight="1">
      <c r="A47" s="87" t="s">
        <v>35</v>
      </c>
      <c r="B47" s="85" t="s">
        <v>36</v>
      </c>
      <c r="C47" s="85"/>
      <c r="D47" s="17">
        <v>8</v>
      </c>
      <c r="E47" s="18"/>
      <c r="F47" s="19"/>
      <c r="G47" s="20">
        <f>((D47/100)*G$21)*(D48/100)</f>
        <v>355120.94303999993</v>
      </c>
      <c r="H47" s="20"/>
      <c r="I47" s="20"/>
      <c r="J47" s="20"/>
      <c r="K47" s="20"/>
      <c r="L47" s="20"/>
    </row>
    <row r="48" spans="1:19" ht="15" customHeight="1">
      <c r="A48" s="87"/>
      <c r="B48" s="85" t="s">
        <v>37</v>
      </c>
      <c r="C48" s="85"/>
      <c r="D48" s="17">
        <v>15</v>
      </c>
      <c r="E48" s="18"/>
      <c r="F48" s="19"/>
      <c r="G48" s="20"/>
      <c r="H48" s="20"/>
      <c r="I48" s="20"/>
      <c r="J48" s="20"/>
      <c r="K48" s="20"/>
      <c r="L48" s="20"/>
    </row>
    <row r="49" spans="1:17" ht="15" customHeight="1">
      <c r="A49" s="87"/>
      <c r="B49" s="85" t="s">
        <v>38</v>
      </c>
      <c r="C49" s="85"/>
      <c r="D49" s="17">
        <v>10</v>
      </c>
      <c r="E49" s="18"/>
      <c r="F49" s="19"/>
      <c r="G49" s="20">
        <v>0</v>
      </c>
      <c r="H49" s="20"/>
      <c r="I49" s="20"/>
      <c r="J49" s="20"/>
      <c r="K49" s="20"/>
      <c r="L49" s="20"/>
      <c r="Q49" s="1">
        <f>40000/350</f>
        <v>114.28571428571429</v>
      </c>
    </row>
    <row r="50" spans="1:17" ht="15" customHeight="1">
      <c r="A50" s="87" t="s">
        <v>39</v>
      </c>
      <c r="B50" s="85" t="s">
        <v>36</v>
      </c>
      <c r="C50" s="85"/>
      <c r="D50" s="17">
        <v>12</v>
      </c>
      <c r="E50" s="18"/>
      <c r="F50" s="19"/>
      <c r="G50" s="20">
        <f>((D50/100)*G$21)*(D51/100)</f>
        <v>319608.8487359999</v>
      </c>
      <c r="H50" s="20"/>
      <c r="I50" s="20"/>
      <c r="J50" s="20"/>
      <c r="K50" s="20"/>
      <c r="L50" s="20"/>
    </row>
    <row r="51" spans="1:17" ht="15" customHeight="1">
      <c r="A51" s="87"/>
      <c r="B51" s="85" t="s">
        <v>40</v>
      </c>
      <c r="C51" s="85"/>
      <c r="D51" s="17">
        <v>9</v>
      </c>
      <c r="E51" s="18"/>
      <c r="F51" s="19"/>
      <c r="G51" s="20"/>
      <c r="H51" s="20"/>
      <c r="I51" s="20"/>
      <c r="J51" s="20"/>
      <c r="K51" s="20"/>
      <c r="L51" s="20"/>
    </row>
    <row r="52" spans="1:17" ht="15" customHeight="1">
      <c r="A52" s="87" t="s">
        <v>41</v>
      </c>
      <c r="B52" s="85" t="s">
        <v>36</v>
      </c>
      <c r="C52" s="85"/>
      <c r="D52" s="17">
        <v>1</v>
      </c>
      <c r="E52" s="18"/>
      <c r="F52" s="19"/>
      <c r="G52" s="88">
        <f>((D52/100)*G$21)*(D53/100)</f>
        <v>23674.729535999995</v>
      </c>
      <c r="H52" s="88"/>
      <c r="I52" s="88"/>
      <c r="J52" s="88"/>
      <c r="K52" s="88"/>
      <c r="L52" s="88"/>
    </row>
    <row r="53" spans="1:17">
      <c r="A53" s="87"/>
      <c r="B53" s="85" t="s">
        <v>40</v>
      </c>
      <c r="C53" s="85"/>
      <c r="D53" s="17">
        <v>8</v>
      </c>
      <c r="E53" s="18"/>
      <c r="F53" s="19"/>
      <c r="G53" s="88"/>
      <c r="H53" s="88"/>
      <c r="I53" s="88"/>
      <c r="J53" s="88"/>
      <c r="K53" s="88"/>
      <c r="L53" s="88"/>
    </row>
    <row r="54" spans="1:17">
      <c r="A54" s="86" t="s">
        <v>19</v>
      </c>
      <c r="B54" s="86"/>
      <c r="C54" s="86"/>
      <c r="D54" s="86"/>
      <c r="E54" s="86"/>
      <c r="F54" s="86"/>
      <c r="G54" s="63">
        <f>SUM(G46:L53)</f>
        <v>1778564.0563919994</v>
      </c>
      <c r="H54" s="63"/>
      <c r="I54" s="63"/>
      <c r="J54" s="63"/>
      <c r="K54" s="63"/>
      <c r="L54" s="63"/>
    </row>
    <row r="55" spans="1:17">
      <c r="A55" s="16" t="s">
        <v>77</v>
      </c>
      <c r="B55" s="16"/>
      <c r="C55" s="16"/>
      <c r="D55" s="25"/>
      <c r="E55" s="25"/>
      <c r="F55" s="25"/>
      <c r="G55" s="16"/>
      <c r="H55" s="16"/>
      <c r="I55" s="16"/>
      <c r="J55" s="16"/>
      <c r="K55" s="16"/>
      <c r="L55" s="16"/>
    </row>
    <row r="56" spans="1:17">
      <c r="A56" s="10" t="s">
        <v>53</v>
      </c>
      <c r="B56" s="90" t="s">
        <v>67</v>
      </c>
      <c r="C56" s="83"/>
      <c r="D56" s="76" t="s">
        <v>68</v>
      </c>
      <c r="E56" s="76"/>
      <c r="F56" s="76"/>
      <c r="G56" s="77" t="s">
        <v>64</v>
      </c>
      <c r="H56" s="77"/>
      <c r="I56" s="77"/>
      <c r="J56" s="77"/>
      <c r="K56" s="77"/>
      <c r="L56" s="78"/>
    </row>
    <row r="57" spans="1:17" ht="15" customHeight="1">
      <c r="A57" s="7" t="s">
        <v>24</v>
      </c>
      <c r="B57" s="59" t="s">
        <v>42</v>
      </c>
      <c r="C57" s="21"/>
      <c r="D57" s="17">
        <v>6</v>
      </c>
      <c r="E57" s="18"/>
      <c r="F57" s="18"/>
      <c r="G57" s="89">
        <f>(D57/100)*G$21</f>
        <v>1775604.7151999995</v>
      </c>
      <c r="H57" s="89"/>
      <c r="I57" s="89"/>
      <c r="J57" s="89"/>
      <c r="K57" s="89"/>
      <c r="L57" s="89"/>
    </row>
    <row r="58" spans="1:17" ht="15" customHeight="1">
      <c r="A58" s="7" t="s">
        <v>43</v>
      </c>
      <c r="B58" s="59" t="s">
        <v>42</v>
      </c>
      <c r="C58" s="21"/>
      <c r="D58" s="17">
        <v>3.5</v>
      </c>
      <c r="E58" s="18"/>
      <c r="F58" s="19"/>
      <c r="G58" s="89">
        <f>(D58/100)*G$21</f>
        <v>1035769.4171999999</v>
      </c>
      <c r="H58" s="89"/>
      <c r="I58" s="89"/>
      <c r="J58" s="89"/>
      <c r="K58" s="89"/>
      <c r="L58" s="89"/>
    </row>
    <row r="59" spans="1:17" ht="15" customHeight="1">
      <c r="A59" s="7" t="s">
        <v>44</v>
      </c>
      <c r="B59" s="59" t="s">
        <v>69</v>
      </c>
      <c r="C59" s="21"/>
      <c r="D59" s="17">
        <v>7</v>
      </c>
      <c r="E59" s="18"/>
      <c r="F59" s="19"/>
      <c r="G59" s="89">
        <f>(D59/100)*G43</f>
        <v>924124.18888188025</v>
      </c>
      <c r="H59" s="89"/>
      <c r="I59" s="89"/>
      <c r="J59" s="89"/>
      <c r="K59" s="89"/>
      <c r="L59" s="89"/>
    </row>
    <row r="60" spans="1:17" ht="15" customHeight="1">
      <c r="A60" s="7" t="s">
        <v>45</v>
      </c>
      <c r="B60" s="59" t="s">
        <v>42</v>
      </c>
      <c r="C60" s="21"/>
      <c r="D60" s="17">
        <v>0.5</v>
      </c>
      <c r="E60" s="18"/>
      <c r="F60" s="19"/>
      <c r="G60" s="89">
        <f>(D60/100)*G$21</f>
        <v>147967.05959999998</v>
      </c>
      <c r="H60" s="89"/>
      <c r="I60" s="89"/>
      <c r="J60" s="89"/>
      <c r="K60" s="89"/>
      <c r="L60" s="89"/>
    </row>
    <row r="61" spans="1:17">
      <c r="A61" s="7" t="s">
        <v>46</v>
      </c>
      <c r="B61" s="59" t="s">
        <v>42</v>
      </c>
      <c r="C61" s="21"/>
      <c r="D61" s="17">
        <v>0.1</v>
      </c>
      <c r="E61" s="18"/>
      <c r="F61" s="19"/>
      <c r="G61" s="89">
        <f>(D61/100)*G$21</f>
        <v>29593.411919999995</v>
      </c>
      <c r="H61" s="89"/>
      <c r="I61" s="89"/>
      <c r="J61" s="89"/>
      <c r="K61" s="89"/>
      <c r="L61" s="89"/>
    </row>
    <row r="62" spans="1:17">
      <c r="A62" s="86" t="s">
        <v>19</v>
      </c>
      <c r="B62" s="86"/>
      <c r="C62" s="86"/>
      <c r="D62" s="86"/>
      <c r="E62" s="86"/>
      <c r="F62" s="86"/>
      <c r="G62" s="63">
        <f>SUM(G57:L61)</f>
        <v>3913058.7928018793</v>
      </c>
      <c r="H62" s="63"/>
      <c r="I62" s="63"/>
      <c r="J62" s="63"/>
      <c r="K62" s="63"/>
      <c r="L62" s="63"/>
    </row>
    <row r="63" spans="1:17">
      <c r="A63" s="52" t="s">
        <v>79</v>
      </c>
      <c r="B63" s="53"/>
      <c r="C63" s="54"/>
      <c r="D63" s="52" t="s">
        <v>78</v>
      </c>
      <c r="E63" s="55"/>
      <c r="F63" s="55"/>
      <c r="G63" s="53"/>
      <c r="H63" s="53"/>
      <c r="I63" s="53"/>
      <c r="J63" s="53"/>
      <c r="K63" s="53"/>
      <c r="L63" s="54"/>
    </row>
    <row r="64" spans="1:17">
      <c r="A64" s="7" t="s">
        <v>81</v>
      </c>
      <c r="B64" s="56">
        <f>G43</f>
        <v>13201774.126884002</v>
      </c>
      <c r="C64" s="57"/>
      <c r="D64" s="91" t="s">
        <v>42</v>
      </c>
      <c r="E64" s="91"/>
      <c r="F64" s="91"/>
      <c r="G64" s="89">
        <f>G21</f>
        <v>29593411.919999994</v>
      </c>
      <c r="H64" s="89"/>
      <c r="I64" s="89"/>
      <c r="J64" s="89"/>
      <c r="K64" s="89"/>
      <c r="L64" s="89"/>
    </row>
    <row r="65" spans="1:1022">
      <c r="A65" s="7" t="s">
        <v>47</v>
      </c>
      <c r="B65" s="56">
        <f>G24</f>
        <v>5102312.4000000004</v>
      </c>
      <c r="C65" s="58"/>
      <c r="D65" s="91" t="s">
        <v>50</v>
      </c>
      <c r="E65" s="91"/>
      <c r="F65" s="91"/>
      <c r="G65" s="89">
        <f>B68</f>
        <v>23995709.376077883</v>
      </c>
      <c r="H65" s="89"/>
      <c r="I65" s="89"/>
      <c r="J65" s="89"/>
      <c r="K65" s="89"/>
      <c r="L65" s="89"/>
    </row>
    <row r="66" spans="1:1022">
      <c r="A66" s="7" t="s">
        <v>48</v>
      </c>
      <c r="B66" s="56">
        <f>G54</f>
        <v>1778564.0563919994</v>
      </c>
      <c r="C66" s="58"/>
      <c r="D66" s="91" t="s">
        <v>51</v>
      </c>
      <c r="E66" s="91"/>
      <c r="F66" s="91"/>
      <c r="G66" s="89">
        <f>G64-G65</f>
        <v>5597702.5439221114</v>
      </c>
      <c r="H66" s="89"/>
      <c r="I66" s="89"/>
      <c r="J66" s="89"/>
      <c r="K66" s="89"/>
      <c r="L66" s="89"/>
    </row>
    <row r="67" spans="1:1022">
      <c r="A67" s="7" t="s">
        <v>49</v>
      </c>
      <c r="B67" s="56">
        <f>G62</f>
        <v>3913058.7928018793</v>
      </c>
      <c r="C67" s="58"/>
      <c r="D67" s="92" t="s">
        <v>52</v>
      </c>
      <c r="E67" s="93"/>
      <c r="F67" s="94"/>
      <c r="G67" s="98">
        <f>G66/G64</f>
        <v>0.18915367241379286</v>
      </c>
      <c r="H67" s="99"/>
      <c r="I67" s="99"/>
      <c r="J67" s="99"/>
      <c r="K67" s="99"/>
      <c r="L67" s="100"/>
    </row>
    <row r="68" spans="1:1022">
      <c r="A68" s="7" t="s">
        <v>19</v>
      </c>
      <c r="B68" s="56">
        <f>SUM(B64:C67)</f>
        <v>23995709.376077883</v>
      </c>
      <c r="C68" s="58"/>
      <c r="D68" s="95"/>
      <c r="E68" s="96"/>
      <c r="F68" s="97"/>
      <c r="G68" s="101"/>
      <c r="H68" s="102"/>
      <c r="I68" s="102"/>
      <c r="J68" s="102"/>
      <c r="K68" s="102"/>
      <c r="L68" s="103"/>
    </row>
    <row r="69" spans="1:1022">
      <c r="A69" s="16" t="s">
        <v>80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spans="1:1022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</row>
    <row r="71" spans="1:1022">
      <c r="A71" s="50" t="s">
        <v>11</v>
      </c>
      <c r="B71" s="50"/>
      <c r="C71" s="50"/>
      <c r="D71" s="50"/>
      <c r="E71" s="50"/>
      <c r="F71" s="50"/>
      <c r="G71" s="12" t="s">
        <v>10</v>
      </c>
      <c r="H71" s="12"/>
      <c r="I71" s="12"/>
      <c r="J71" s="12"/>
      <c r="K71" s="12"/>
      <c r="L71" s="1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/>
      <c r="AGW71" s="2"/>
      <c r="AGX71" s="2"/>
      <c r="AGY71" s="2"/>
      <c r="AGZ71" s="2"/>
      <c r="AHA71" s="2"/>
      <c r="AHB71" s="2"/>
      <c r="AHC71" s="2"/>
      <c r="AHD71" s="2"/>
      <c r="AHE71" s="2"/>
      <c r="AHF71" s="2"/>
      <c r="AHG71" s="2"/>
      <c r="AHH71" s="2"/>
      <c r="AHI71" s="2"/>
      <c r="AHJ71" s="2"/>
      <c r="AHK71" s="2"/>
      <c r="AHL71" s="2"/>
      <c r="AHM71" s="2"/>
      <c r="AHN71" s="2"/>
      <c r="AHO71" s="2"/>
      <c r="AHP71" s="2"/>
      <c r="AHQ71" s="2"/>
      <c r="AHR71" s="2"/>
      <c r="AHS71" s="2"/>
      <c r="AHT71" s="2"/>
      <c r="AHU71" s="2"/>
      <c r="AHV71" s="2"/>
      <c r="AHW71" s="2"/>
      <c r="AHX71" s="2"/>
      <c r="AHY71" s="2"/>
      <c r="AHZ71" s="2"/>
      <c r="AIA71" s="2"/>
      <c r="AIB71" s="2"/>
      <c r="AIC71" s="2"/>
      <c r="AID71" s="2"/>
      <c r="AIE71" s="2"/>
      <c r="AIF71" s="2"/>
      <c r="AIG71" s="2"/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2"/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  <c r="AKV71" s="2"/>
      <c r="AKW71" s="2"/>
      <c r="AKX71" s="2"/>
      <c r="AKY71" s="2"/>
      <c r="AKZ71" s="2"/>
      <c r="ALA71" s="2"/>
      <c r="ALB71" s="2"/>
      <c r="ALC71" s="2"/>
      <c r="ALD71" s="2"/>
      <c r="ALE71" s="2"/>
      <c r="ALF71" s="2"/>
      <c r="ALG71" s="2"/>
      <c r="ALH71" s="2"/>
      <c r="ALI71" s="2"/>
      <c r="ALJ71" s="2"/>
      <c r="ALK71" s="2"/>
      <c r="ALL71" s="2"/>
      <c r="ALM71" s="2"/>
      <c r="ALN71" s="2"/>
      <c r="ALO71" s="2"/>
      <c r="ALP71" s="2"/>
      <c r="ALQ71" s="2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</row>
    <row r="72" spans="1:1022">
      <c r="A72" s="45"/>
      <c r="B72" s="45"/>
      <c r="C72" s="45"/>
      <c r="D72" s="45"/>
      <c r="E72" s="45"/>
      <c r="F72" s="45"/>
      <c r="G72" s="46">
        <v>43028</v>
      </c>
      <c r="H72" s="46"/>
      <c r="I72" s="46"/>
      <c r="J72" s="46"/>
      <c r="K72" s="46"/>
      <c r="L72" s="46"/>
    </row>
    <row r="73" spans="1:1022" ht="16.5" customHeight="1">
      <c r="A73" s="45"/>
      <c r="B73" s="45"/>
      <c r="C73" s="45"/>
      <c r="D73" s="45"/>
      <c r="E73" s="45"/>
      <c r="F73" s="45"/>
      <c r="G73" s="46"/>
      <c r="H73" s="46"/>
      <c r="I73" s="46"/>
      <c r="J73" s="46"/>
      <c r="K73" s="46"/>
      <c r="L73" s="46"/>
    </row>
    <row r="74" spans="1:1022">
      <c r="A74" s="3"/>
      <c r="B74" s="4"/>
      <c r="C74" s="4"/>
      <c r="D74" s="4"/>
      <c r="E74" s="4"/>
      <c r="F74" s="4"/>
      <c r="G74" s="4"/>
      <c r="H74" s="4"/>
      <c r="I74" s="4"/>
    </row>
    <row r="75" spans="1:1022">
      <c r="A75" s="3"/>
      <c r="B75" s="4"/>
      <c r="C75" s="4"/>
      <c r="D75" s="4"/>
      <c r="E75" s="4"/>
      <c r="F75" s="4"/>
      <c r="G75" s="4"/>
      <c r="H75" s="4"/>
      <c r="I75" s="4"/>
    </row>
    <row r="76" spans="1:1022">
      <c r="A76" s="3"/>
      <c r="B76" s="4"/>
      <c r="C76" s="4"/>
      <c r="D76" s="4"/>
      <c r="E76" s="4"/>
      <c r="F76" s="4"/>
      <c r="G76" s="4"/>
      <c r="H76" s="4"/>
      <c r="I76" s="4"/>
    </row>
    <row r="77" spans="1:1022">
      <c r="A77" s="4"/>
      <c r="B77" s="4"/>
      <c r="C77" s="4"/>
      <c r="D77" s="4"/>
      <c r="E77" s="4"/>
      <c r="F77" s="4"/>
      <c r="G77" s="4"/>
      <c r="H77" s="4"/>
      <c r="I77" s="4"/>
    </row>
    <row r="78" spans="1:1022">
      <c r="A78" s="4"/>
      <c r="B78" s="4"/>
      <c r="C78" s="4"/>
      <c r="D78" s="4"/>
      <c r="E78" s="4"/>
      <c r="F78" s="4"/>
      <c r="G78" s="4"/>
      <c r="H78" s="4"/>
      <c r="I78" s="4"/>
    </row>
    <row r="79" spans="1:1022">
      <c r="A79" s="4"/>
      <c r="B79" s="4"/>
      <c r="C79" s="4"/>
      <c r="D79" s="4"/>
      <c r="E79" s="4"/>
      <c r="F79" s="4"/>
      <c r="G79" s="4"/>
      <c r="H79" s="4"/>
      <c r="I79" s="4"/>
    </row>
    <row r="80" spans="1:1022">
      <c r="A80" s="5"/>
      <c r="B80" s="5"/>
      <c r="C80" s="5"/>
      <c r="D80" s="5"/>
      <c r="E80" s="5"/>
      <c r="F80" s="5"/>
      <c r="G80" s="5"/>
      <c r="H80" s="5"/>
      <c r="I80" s="5"/>
    </row>
    <row r="81" spans="1:9">
      <c r="A81" s="5"/>
      <c r="B81" s="5"/>
      <c r="C81" s="5"/>
      <c r="D81" s="5"/>
      <c r="E81" s="5"/>
      <c r="F81" s="5"/>
      <c r="G81" s="5"/>
      <c r="H81" s="5"/>
      <c r="I81" s="5"/>
    </row>
    <row r="82" spans="1:9">
      <c r="A82" s="5"/>
      <c r="B82" s="5"/>
      <c r="C82" s="5"/>
      <c r="D82" s="5"/>
      <c r="E82" s="5"/>
      <c r="F82" s="5"/>
      <c r="G82" s="5"/>
      <c r="H82" s="5"/>
      <c r="I82" s="5"/>
    </row>
    <row r="83" spans="1:9">
      <c r="A83" s="5"/>
      <c r="B83" s="5"/>
      <c r="C83" s="5"/>
      <c r="D83" s="5"/>
      <c r="E83" s="5"/>
      <c r="F83" s="5"/>
      <c r="G83" s="5"/>
      <c r="H83" s="5"/>
      <c r="I83" s="5"/>
    </row>
    <row r="84" spans="1:9">
      <c r="A84" s="5"/>
      <c r="B84" s="5"/>
      <c r="C84" s="5"/>
      <c r="D84" s="5"/>
      <c r="E84" s="5"/>
      <c r="F84" s="5"/>
      <c r="G84" s="5"/>
      <c r="H84" s="5"/>
      <c r="I84" s="5"/>
    </row>
    <row r="85" spans="1:9">
      <c r="A85" s="5"/>
      <c r="B85" s="5"/>
      <c r="C85" s="5"/>
      <c r="D85" s="5"/>
      <c r="E85" s="5"/>
      <c r="F85" s="5"/>
      <c r="G85" s="5"/>
      <c r="H85" s="5"/>
      <c r="I85" s="5"/>
    </row>
    <row r="86" spans="1:9">
      <c r="A86" s="5"/>
      <c r="B86" s="5"/>
      <c r="C86" s="5"/>
      <c r="D86" s="5"/>
      <c r="E86" s="5"/>
      <c r="F86" s="5"/>
      <c r="G86" s="5"/>
      <c r="H86" s="5"/>
      <c r="I86" s="5"/>
    </row>
    <row r="87" spans="1:9">
      <c r="A87" s="5"/>
      <c r="B87" s="5"/>
      <c r="C87" s="5"/>
      <c r="D87" s="5"/>
      <c r="E87" s="5"/>
      <c r="F87" s="5"/>
      <c r="G87" s="5"/>
      <c r="H87" s="5"/>
      <c r="I87" s="5"/>
    </row>
    <row r="88" spans="1:9">
      <c r="A88" s="5"/>
      <c r="B88" s="5"/>
      <c r="C88" s="5"/>
      <c r="D88" s="5"/>
      <c r="E88" s="5"/>
      <c r="F88" s="5"/>
      <c r="G88" s="5"/>
      <c r="H88" s="5"/>
      <c r="I88" s="5"/>
    </row>
    <row r="89" spans="1:9">
      <c r="A89" s="5"/>
      <c r="B89" s="5"/>
      <c r="C89" s="5"/>
      <c r="D89" s="5"/>
      <c r="E89" s="5"/>
      <c r="F89" s="5"/>
      <c r="G89" s="5"/>
      <c r="H89" s="5"/>
      <c r="I89" s="5"/>
    </row>
    <row r="90" spans="1:9">
      <c r="A90" s="5"/>
      <c r="B90" s="5"/>
      <c r="C90" s="5"/>
      <c r="D90" s="5"/>
      <c r="E90" s="5"/>
      <c r="F90" s="5"/>
      <c r="G90" s="5"/>
      <c r="H90" s="5"/>
      <c r="I90" s="5"/>
    </row>
    <row r="91" spans="1:9">
      <c r="A91" s="5"/>
      <c r="B91" s="5"/>
      <c r="C91" s="5"/>
      <c r="D91" s="5"/>
      <c r="E91" s="5"/>
      <c r="F91" s="5"/>
      <c r="G91" s="5"/>
      <c r="H91" s="5"/>
      <c r="I91" s="5"/>
    </row>
    <row r="92" spans="1:9">
      <c r="A92" s="5"/>
      <c r="B92" s="5"/>
      <c r="C92" s="5"/>
      <c r="D92" s="5"/>
      <c r="E92" s="5"/>
      <c r="F92" s="5"/>
      <c r="G92" s="5"/>
      <c r="H92" s="5"/>
      <c r="I92" s="5"/>
    </row>
    <row r="93" spans="1:9">
      <c r="A93" s="5"/>
      <c r="B93" s="5"/>
      <c r="C93" s="5"/>
      <c r="D93" s="5"/>
      <c r="E93" s="5"/>
      <c r="F93" s="5"/>
      <c r="G93" s="5"/>
      <c r="H93" s="5"/>
      <c r="I93" s="5"/>
    </row>
    <row r="94" spans="1:9">
      <c r="A94" s="5"/>
      <c r="B94" s="5"/>
      <c r="C94" s="5"/>
      <c r="D94" s="5"/>
      <c r="E94" s="5"/>
      <c r="F94" s="5"/>
      <c r="G94" s="5"/>
      <c r="H94" s="5"/>
      <c r="I94" s="5"/>
    </row>
    <row r="95" spans="1:9">
      <c r="A95" s="5"/>
      <c r="B95" s="5"/>
      <c r="C95" s="5"/>
      <c r="D95" s="5"/>
      <c r="E95" s="5"/>
      <c r="F95" s="5"/>
      <c r="G95" s="5"/>
      <c r="H95" s="5"/>
      <c r="I95" s="5"/>
    </row>
    <row r="96" spans="1:9">
      <c r="A96" s="5"/>
      <c r="B96" s="5"/>
      <c r="C96" s="5"/>
      <c r="D96" s="5"/>
      <c r="E96" s="5"/>
      <c r="F96" s="5"/>
      <c r="G96" s="5"/>
      <c r="H96" s="5"/>
      <c r="I96" s="5"/>
    </row>
    <row r="97" spans="1:9">
      <c r="A97" s="5"/>
      <c r="B97" s="5"/>
      <c r="C97" s="5"/>
      <c r="D97" s="5"/>
      <c r="E97" s="5"/>
      <c r="F97" s="5"/>
      <c r="G97" s="5"/>
      <c r="H97" s="5"/>
      <c r="I97" s="5"/>
    </row>
    <row r="98" spans="1:9">
      <c r="A98" s="5"/>
      <c r="B98" s="5"/>
      <c r="C98" s="5"/>
      <c r="D98" s="5"/>
      <c r="E98" s="5"/>
      <c r="F98" s="5"/>
      <c r="G98" s="5"/>
      <c r="H98" s="5"/>
      <c r="I98" s="5"/>
    </row>
    <row r="99" spans="1:9">
      <c r="A99" s="5"/>
      <c r="B99" s="5"/>
      <c r="C99" s="5"/>
      <c r="D99" s="5"/>
      <c r="E99" s="5"/>
      <c r="F99" s="5"/>
      <c r="G99" s="5"/>
      <c r="H99" s="5"/>
      <c r="I99" s="5"/>
    </row>
    <row r="100" spans="1:9">
      <c r="A100" s="5"/>
      <c r="B100" s="5"/>
      <c r="C100" s="5"/>
      <c r="D100" s="5"/>
      <c r="E100" s="5"/>
      <c r="F100" s="5"/>
      <c r="G100" s="5"/>
      <c r="H100" s="5"/>
      <c r="I100" s="5"/>
    </row>
    <row r="101" spans="1:9">
      <c r="A101" s="5"/>
      <c r="B101" s="5"/>
      <c r="C101" s="5"/>
      <c r="D101" s="5"/>
      <c r="E101" s="5"/>
      <c r="F101" s="5"/>
      <c r="G101" s="5"/>
      <c r="H101" s="5"/>
      <c r="I101" s="5"/>
    </row>
    <row r="102" spans="1:9">
      <c r="A102" s="5"/>
      <c r="B102" s="5"/>
      <c r="C102" s="5"/>
      <c r="D102" s="5"/>
      <c r="E102" s="5"/>
      <c r="F102" s="5"/>
      <c r="G102" s="5"/>
      <c r="H102" s="5"/>
      <c r="I102" s="5"/>
    </row>
    <row r="103" spans="1:9">
      <c r="A103" s="5"/>
      <c r="B103" s="5"/>
      <c r="C103" s="5"/>
      <c r="D103" s="5"/>
      <c r="E103" s="5"/>
      <c r="F103" s="5"/>
      <c r="G103" s="5"/>
      <c r="H103" s="5"/>
      <c r="I103" s="5"/>
    </row>
    <row r="104" spans="1:9">
      <c r="A104" s="5"/>
      <c r="B104" s="5"/>
      <c r="C104" s="5"/>
      <c r="D104" s="5"/>
      <c r="E104" s="5"/>
      <c r="F104" s="5"/>
      <c r="G104" s="5"/>
      <c r="H104" s="5"/>
      <c r="I104" s="5"/>
    </row>
    <row r="105" spans="1:9">
      <c r="A105" s="5"/>
      <c r="B105" s="5"/>
      <c r="C105" s="5"/>
      <c r="D105" s="5"/>
      <c r="E105" s="5"/>
      <c r="F105" s="5"/>
      <c r="G105" s="5"/>
      <c r="H105" s="5"/>
      <c r="I105" s="5"/>
    </row>
    <row r="106" spans="1:9">
      <c r="A106" s="5"/>
      <c r="B106" s="5"/>
      <c r="C106" s="5"/>
      <c r="D106" s="5"/>
      <c r="E106" s="5"/>
      <c r="F106" s="5"/>
      <c r="G106" s="5"/>
      <c r="H106" s="5"/>
      <c r="I106" s="5"/>
    </row>
    <row r="107" spans="1:9">
      <c r="A107" s="5"/>
      <c r="B107" s="5"/>
      <c r="C107" s="5"/>
      <c r="D107" s="5"/>
      <c r="E107" s="5"/>
      <c r="F107" s="5"/>
      <c r="G107" s="5"/>
      <c r="H107" s="5"/>
      <c r="I107" s="5"/>
    </row>
    <row r="108" spans="1:9">
      <c r="A108" s="5"/>
      <c r="B108" s="5"/>
      <c r="C108" s="5"/>
      <c r="D108" s="5"/>
      <c r="E108" s="5"/>
      <c r="F108" s="5"/>
      <c r="G108" s="5"/>
      <c r="H108" s="5"/>
      <c r="I108" s="5"/>
    </row>
    <row r="109" spans="1:9">
      <c r="A109" s="5"/>
      <c r="B109" s="5"/>
      <c r="C109" s="5"/>
      <c r="D109" s="5"/>
      <c r="E109" s="5"/>
      <c r="F109" s="5"/>
      <c r="G109" s="5"/>
      <c r="H109" s="5"/>
      <c r="I109" s="5"/>
    </row>
    <row r="110" spans="1:9">
      <c r="A110" s="5"/>
      <c r="B110" s="5"/>
      <c r="C110" s="5"/>
      <c r="D110" s="5"/>
      <c r="E110" s="5"/>
      <c r="F110" s="5"/>
      <c r="G110" s="5"/>
      <c r="H110" s="5"/>
      <c r="I110" s="5"/>
    </row>
    <row r="111" spans="1:9">
      <c r="A111" s="5"/>
      <c r="B111" s="5"/>
      <c r="C111" s="5"/>
      <c r="D111" s="5"/>
      <c r="E111" s="5"/>
      <c r="F111" s="5"/>
      <c r="G111" s="5"/>
      <c r="H111" s="5"/>
      <c r="I111" s="5"/>
    </row>
    <row r="112" spans="1:9">
      <c r="A112" s="5"/>
      <c r="B112" s="5"/>
      <c r="C112" s="5"/>
      <c r="D112" s="5"/>
      <c r="E112" s="5"/>
      <c r="F112" s="5"/>
      <c r="G112" s="5"/>
      <c r="H112" s="5"/>
      <c r="I112" s="5"/>
    </row>
    <row r="113" spans="1:9">
      <c r="A113" s="5"/>
      <c r="B113" s="5"/>
      <c r="C113" s="5"/>
      <c r="D113" s="5"/>
      <c r="E113" s="5"/>
      <c r="F113" s="5"/>
      <c r="G113" s="5"/>
      <c r="H113" s="5"/>
      <c r="I113" s="5"/>
    </row>
    <row r="114" spans="1:9">
      <c r="A114" s="5"/>
      <c r="B114" s="5"/>
      <c r="C114" s="5"/>
      <c r="D114" s="5"/>
      <c r="E114" s="5"/>
      <c r="F114" s="5"/>
      <c r="G114" s="5"/>
      <c r="H114" s="5"/>
      <c r="I114" s="5"/>
    </row>
    <row r="115" spans="1:9">
      <c r="A115" s="5"/>
      <c r="B115" s="5"/>
      <c r="C115" s="5"/>
      <c r="D115" s="5"/>
      <c r="E115" s="5"/>
      <c r="F115" s="5"/>
      <c r="G115" s="5"/>
      <c r="H115" s="5"/>
      <c r="I115" s="5"/>
    </row>
    <row r="116" spans="1:9">
      <c r="A116" s="5"/>
      <c r="B116" s="5"/>
      <c r="C116" s="5"/>
      <c r="D116" s="5"/>
      <c r="E116" s="5"/>
      <c r="F116" s="5"/>
      <c r="G116" s="5"/>
      <c r="H116" s="5"/>
      <c r="I116" s="5"/>
    </row>
    <row r="117" spans="1:9">
      <c r="A117" s="5"/>
      <c r="B117" s="5"/>
      <c r="C117" s="5"/>
      <c r="D117" s="5"/>
      <c r="E117" s="5"/>
      <c r="F117" s="5"/>
      <c r="G117" s="5"/>
      <c r="H117" s="5"/>
      <c r="I117" s="5"/>
    </row>
    <row r="118" spans="1:9">
      <c r="A118" s="5"/>
      <c r="B118" s="5"/>
      <c r="C118" s="5"/>
      <c r="D118" s="5"/>
      <c r="E118" s="5"/>
      <c r="F118" s="5"/>
      <c r="G118" s="5"/>
      <c r="H118" s="5"/>
      <c r="I118" s="5"/>
    </row>
    <row r="119" spans="1:9">
      <c r="A119" s="5"/>
      <c r="B119" s="5"/>
      <c r="C119" s="5"/>
      <c r="D119" s="5"/>
      <c r="E119" s="5"/>
      <c r="F119" s="5"/>
      <c r="G119" s="5"/>
      <c r="H119" s="5"/>
      <c r="I119" s="5"/>
    </row>
    <row r="120" spans="1:9">
      <c r="A120" s="5"/>
      <c r="B120" s="5"/>
      <c r="C120" s="5"/>
      <c r="D120" s="5"/>
      <c r="E120" s="5"/>
      <c r="F120" s="5"/>
      <c r="G120" s="5"/>
      <c r="H120" s="5"/>
      <c r="I120" s="5"/>
    </row>
    <row r="121" spans="1:9">
      <c r="A121" s="5"/>
      <c r="B121" s="5"/>
      <c r="C121" s="5"/>
      <c r="D121" s="5"/>
      <c r="E121" s="5"/>
      <c r="F121" s="5"/>
      <c r="G121" s="5"/>
      <c r="H121" s="5"/>
      <c r="I121" s="5"/>
    </row>
    <row r="122" spans="1:9">
      <c r="A122" s="5"/>
      <c r="B122" s="5"/>
      <c r="C122" s="5"/>
      <c r="D122" s="5"/>
      <c r="E122" s="5"/>
      <c r="F122" s="5"/>
      <c r="G122" s="5"/>
      <c r="H122" s="5"/>
      <c r="I122" s="5"/>
    </row>
    <row r="123" spans="1:9">
      <c r="A123" s="5"/>
      <c r="B123" s="5"/>
      <c r="C123" s="5"/>
      <c r="D123" s="5"/>
      <c r="E123" s="5"/>
      <c r="F123" s="5"/>
      <c r="G123" s="5"/>
      <c r="H123" s="5"/>
      <c r="I123" s="5"/>
    </row>
    <row r="124" spans="1:9">
      <c r="A124" s="5"/>
      <c r="B124" s="5"/>
      <c r="C124" s="5"/>
      <c r="D124" s="5"/>
      <c r="E124" s="5"/>
      <c r="F124" s="5"/>
      <c r="G124" s="5"/>
      <c r="H124" s="5"/>
      <c r="I124" s="5"/>
    </row>
    <row r="125" spans="1:9">
      <c r="A125" s="5"/>
      <c r="B125" s="5"/>
      <c r="C125" s="5"/>
      <c r="D125" s="5"/>
      <c r="E125" s="5"/>
      <c r="F125" s="5"/>
      <c r="G125" s="5"/>
      <c r="H125" s="5"/>
      <c r="I125" s="5"/>
    </row>
    <row r="126" spans="1:9">
      <c r="A126" s="5"/>
      <c r="B126" s="5"/>
      <c r="C126" s="5"/>
      <c r="D126" s="5"/>
      <c r="E126" s="5"/>
      <c r="F126" s="5"/>
      <c r="G126" s="5"/>
      <c r="H126" s="5"/>
      <c r="I126" s="5"/>
    </row>
    <row r="127" spans="1:9">
      <c r="A127" s="5"/>
      <c r="B127" s="5"/>
      <c r="C127" s="5"/>
      <c r="D127" s="5"/>
      <c r="E127" s="5"/>
      <c r="F127" s="5"/>
      <c r="G127" s="5"/>
      <c r="H127" s="5"/>
      <c r="I127" s="5"/>
    </row>
    <row r="128" spans="1:9">
      <c r="A128" s="5"/>
      <c r="B128" s="5"/>
      <c r="C128" s="5"/>
      <c r="D128" s="5"/>
      <c r="E128" s="5"/>
      <c r="F128" s="5"/>
      <c r="G128" s="5"/>
      <c r="H128" s="5"/>
      <c r="I128" s="5"/>
    </row>
    <row r="129" spans="1:9">
      <c r="A129" s="5"/>
      <c r="B129" s="5"/>
      <c r="C129" s="5"/>
      <c r="D129" s="5"/>
      <c r="E129" s="5"/>
      <c r="F129" s="5"/>
      <c r="G129" s="5"/>
      <c r="H129" s="5"/>
      <c r="I129" s="5"/>
    </row>
    <row r="130" spans="1:9">
      <c r="A130" s="5"/>
      <c r="B130" s="5"/>
      <c r="C130" s="5"/>
      <c r="D130" s="5"/>
      <c r="E130" s="5"/>
      <c r="F130" s="5"/>
      <c r="G130" s="5"/>
      <c r="H130" s="5"/>
      <c r="I130" s="5"/>
    </row>
    <row r="131" spans="1:9">
      <c r="A131" s="5"/>
      <c r="B131" s="5"/>
      <c r="C131" s="5"/>
      <c r="D131" s="5"/>
      <c r="E131" s="5"/>
      <c r="F131" s="5"/>
      <c r="G131" s="5"/>
      <c r="H131" s="5"/>
      <c r="I131" s="5"/>
    </row>
    <row r="132" spans="1:9">
      <c r="A132" s="5"/>
      <c r="B132" s="5"/>
      <c r="C132" s="5"/>
      <c r="D132" s="5"/>
      <c r="E132" s="5"/>
      <c r="F132" s="5"/>
      <c r="G132" s="5"/>
      <c r="H132" s="5"/>
      <c r="I132" s="5"/>
    </row>
    <row r="133" spans="1:9">
      <c r="A133" s="5"/>
      <c r="B133" s="5"/>
      <c r="C133" s="5"/>
      <c r="D133" s="5"/>
      <c r="E133" s="5"/>
      <c r="F133" s="5"/>
      <c r="G133" s="5"/>
      <c r="H133" s="5"/>
      <c r="I133" s="5"/>
    </row>
    <row r="134" spans="1:9">
      <c r="A134" s="5"/>
      <c r="B134" s="5"/>
      <c r="C134" s="5"/>
      <c r="D134" s="5"/>
      <c r="E134" s="5"/>
      <c r="F134" s="5"/>
      <c r="G134" s="5"/>
      <c r="H134" s="5"/>
      <c r="I134" s="5"/>
    </row>
    <row r="135" spans="1:9">
      <c r="A135" s="5"/>
      <c r="B135" s="5"/>
      <c r="C135" s="5"/>
      <c r="D135" s="5"/>
      <c r="E135" s="5"/>
      <c r="F135" s="5"/>
      <c r="G135" s="5"/>
      <c r="H135" s="5"/>
      <c r="I135" s="5"/>
    </row>
    <row r="136" spans="1:9">
      <c r="A136" s="5"/>
      <c r="B136" s="5"/>
      <c r="C136" s="5"/>
      <c r="D136" s="5"/>
      <c r="E136" s="5"/>
      <c r="F136" s="5"/>
      <c r="G136" s="5"/>
      <c r="H136" s="5"/>
      <c r="I136" s="5"/>
    </row>
    <row r="137" spans="1:9">
      <c r="A137" s="5"/>
      <c r="B137" s="5"/>
      <c r="C137" s="5"/>
      <c r="D137" s="5"/>
      <c r="E137" s="5"/>
      <c r="F137" s="5"/>
      <c r="G137" s="5"/>
      <c r="H137" s="5"/>
      <c r="I137" s="5"/>
    </row>
    <row r="138" spans="1:9">
      <c r="A138" s="5"/>
      <c r="B138" s="5"/>
      <c r="C138" s="5"/>
      <c r="D138" s="5"/>
      <c r="E138" s="5"/>
      <c r="F138" s="5"/>
      <c r="G138" s="5"/>
      <c r="H138" s="5"/>
      <c r="I138" s="5"/>
    </row>
    <row r="139" spans="1:9">
      <c r="A139" s="5"/>
      <c r="B139" s="5"/>
      <c r="C139" s="5"/>
      <c r="D139" s="5"/>
      <c r="E139" s="5"/>
      <c r="F139" s="5"/>
      <c r="G139" s="5"/>
      <c r="H139" s="5"/>
      <c r="I139" s="5"/>
    </row>
    <row r="140" spans="1:9">
      <c r="A140" s="5"/>
      <c r="B140" s="5"/>
      <c r="C140" s="5"/>
      <c r="D140" s="5"/>
      <c r="E140" s="5"/>
      <c r="F140" s="5"/>
      <c r="G140" s="5"/>
      <c r="H140" s="5"/>
      <c r="I140" s="5"/>
    </row>
    <row r="141" spans="1:9">
      <c r="A141" s="5"/>
      <c r="B141" s="5"/>
      <c r="C141" s="5"/>
      <c r="D141" s="5"/>
      <c r="E141" s="5"/>
      <c r="F141" s="5"/>
      <c r="G141" s="5"/>
      <c r="H141" s="5"/>
      <c r="I141" s="5"/>
    </row>
    <row r="142" spans="1:9">
      <c r="A142" s="5"/>
      <c r="B142" s="5"/>
      <c r="C142" s="5"/>
      <c r="D142" s="5"/>
      <c r="E142" s="5"/>
      <c r="F142" s="5"/>
      <c r="G142" s="5"/>
      <c r="H142" s="5"/>
      <c r="I142" s="5"/>
    </row>
    <row r="143" spans="1:9">
      <c r="A143" s="5"/>
      <c r="B143" s="5"/>
      <c r="C143" s="5"/>
      <c r="D143" s="5"/>
      <c r="E143" s="5"/>
      <c r="F143" s="5"/>
      <c r="G143" s="5"/>
      <c r="H143" s="5"/>
      <c r="I143" s="5"/>
    </row>
    <row r="144" spans="1:9">
      <c r="A144" s="5"/>
      <c r="B144" s="5"/>
      <c r="C144" s="5"/>
      <c r="D144" s="5"/>
      <c r="E144" s="5"/>
      <c r="F144" s="5"/>
      <c r="G144" s="5"/>
      <c r="H144" s="5"/>
      <c r="I144" s="5"/>
    </row>
    <row r="145" spans="1:9">
      <c r="A145" s="5"/>
      <c r="B145" s="5"/>
      <c r="C145" s="5"/>
      <c r="D145" s="5"/>
      <c r="E145" s="5"/>
      <c r="F145" s="5"/>
      <c r="G145" s="5"/>
      <c r="H145" s="5"/>
      <c r="I145" s="5"/>
    </row>
    <row r="146" spans="1:9">
      <c r="A146" s="5"/>
      <c r="B146" s="5"/>
      <c r="C146" s="5"/>
      <c r="D146" s="5"/>
      <c r="E146" s="5"/>
      <c r="F146" s="5"/>
      <c r="G146" s="5"/>
      <c r="H146" s="5"/>
      <c r="I146" s="5"/>
    </row>
    <row r="147" spans="1:9">
      <c r="A147" s="5"/>
      <c r="B147" s="5"/>
      <c r="C147" s="5"/>
      <c r="D147" s="5"/>
      <c r="E147" s="5"/>
      <c r="F147" s="5"/>
      <c r="G147" s="5"/>
      <c r="H147" s="5"/>
      <c r="I147" s="5"/>
    </row>
    <row r="148" spans="1:9">
      <c r="A148" s="5"/>
      <c r="B148" s="5"/>
      <c r="C148" s="5"/>
      <c r="D148" s="5"/>
      <c r="E148" s="5"/>
      <c r="F148" s="5"/>
      <c r="G148" s="5"/>
      <c r="H148" s="5"/>
      <c r="I148" s="5"/>
    </row>
    <row r="149" spans="1:9">
      <c r="A149" s="5"/>
      <c r="B149" s="5"/>
      <c r="C149" s="5"/>
      <c r="D149" s="5"/>
      <c r="E149" s="5"/>
      <c r="F149" s="5"/>
      <c r="G149" s="5"/>
      <c r="H149" s="5"/>
      <c r="I149" s="5"/>
    </row>
    <row r="150" spans="1:9">
      <c r="A150" s="5"/>
      <c r="B150" s="5"/>
      <c r="C150" s="5"/>
      <c r="D150" s="5"/>
      <c r="E150" s="5"/>
      <c r="F150" s="5"/>
      <c r="G150" s="5"/>
      <c r="H150" s="5"/>
      <c r="I150" s="5"/>
    </row>
    <row r="151" spans="1:9">
      <c r="A151" s="5"/>
      <c r="B151" s="5"/>
      <c r="C151" s="5"/>
      <c r="D151" s="5"/>
      <c r="E151" s="5"/>
      <c r="F151" s="5"/>
      <c r="G151" s="5"/>
      <c r="H151" s="5"/>
      <c r="I151" s="5"/>
    </row>
    <row r="152" spans="1:9">
      <c r="A152" s="5"/>
      <c r="B152" s="5"/>
      <c r="C152" s="5"/>
      <c r="D152" s="5"/>
      <c r="E152" s="5"/>
      <c r="F152" s="5"/>
      <c r="G152" s="5"/>
      <c r="H152" s="5"/>
      <c r="I152" s="5"/>
    </row>
    <row r="153" spans="1:9">
      <c r="A153" s="5"/>
      <c r="B153" s="5"/>
      <c r="C153" s="5"/>
      <c r="D153" s="5"/>
      <c r="E153" s="5"/>
      <c r="F153" s="5"/>
      <c r="G153" s="5"/>
      <c r="H153" s="5"/>
      <c r="I153" s="5"/>
    </row>
    <row r="154" spans="1:9">
      <c r="A154" s="5"/>
      <c r="B154" s="5"/>
      <c r="C154" s="5"/>
      <c r="D154" s="5"/>
      <c r="E154" s="5"/>
      <c r="F154" s="5"/>
      <c r="G154" s="5"/>
      <c r="H154" s="5"/>
      <c r="I154" s="5"/>
    </row>
    <row r="155" spans="1:9">
      <c r="A155" s="5"/>
      <c r="B155" s="5"/>
      <c r="C155" s="5"/>
      <c r="D155" s="5"/>
      <c r="E155" s="5"/>
      <c r="F155" s="5"/>
      <c r="G155" s="5"/>
      <c r="H155" s="5"/>
      <c r="I155" s="5"/>
    </row>
    <row r="156" spans="1:9">
      <c r="A156" s="5"/>
      <c r="B156" s="5"/>
      <c r="C156" s="5"/>
      <c r="D156" s="5"/>
      <c r="E156" s="5"/>
      <c r="F156" s="5"/>
      <c r="G156" s="5"/>
      <c r="H156" s="5"/>
      <c r="I156" s="5"/>
    </row>
    <row r="157" spans="1:9">
      <c r="A157" s="5"/>
      <c r="B157" s="5"/>
      <c r="C157" s="5"/>
      <c r="D157" s="5"/>
      <c r="E157" s="5"/>
      <c r="F157" s="5"/>
      <c r="G157" s="5"/>
      <c r="H157" s="5"/>
      <c r="I157" s="5"/>
    </row>
    <row r="158" spans="1:9">
      <c r="A158" s="5"/>
      <c r="B158" s="5"/>
      <c r="C158" s="5"/>
      <c r="D158" s="5"/>
      <c r="E158" s="5"/>
      <c r="F158" s="5"/>
      <c r="G158" s="5"/>
      <c r="H158" s="5"/>
      <c r="I158" s="5"/>
    </row>
    <row r="159" spans="1:9">
      <c r="A159" s="5"/>
      <c r="B159" s="5"/>
      <c r="C159" s="5"/>
      <c r="D159" s="5"/>
      <c r="E159" s="5"/>
      <c r="F159" s="5"/>
      <c r="G159" s="5"/>
      <c r="H159" s="5"/>
      <c r="I159" s="5"/>
    </row>
    <row r="160" spans="1:9">
      <c r="A160" s="5"/>
      <c r="B160" s="5"/>
      <c r="C160" s="5"/>
      <c r="D160" s="5"/>
      <c r="E160" s="5"/>
      <c r="F160" s="5"/>
      <c r="G160" s="5"/>
      <c r="H160" s="5"/>
      <c r="I160" s="5"/>
    </row>
    <row r="161" spans="1:9">
      <c r="A161" s="5"/>
      <c r="B161" s="5"/>
      <c r="C161" s="5"/>
      <c r="D161" s="5"/>
      <c r="E161" s="5"/>
      <c r="F161" s="5"/>
      <c r="G161" s="5"/>
      <c r="H161" s="5"/>
      <c r="I161" s="5"/>
    </row>
    <row r="162" spans="1:9">
      <c r="A162" s="5"/>
      <c r="B162" s="5"/>
      <c r="C162" s="5"/>
      <c r="D162" s="5"/>
      <c r="E162" s="5"/>
      <c r="F162" s="5"/>
      <c r="G162" s="5"/>
      <c r="H162" s="5"/>
      <c r="I162" s="5"/>
    </row>
    <row r="163" spans="1:9">
      <c r="A163" s="5"/>
      <c r="B163" s="5"/>
      <c r="C163" s="5"/>
      <c r="D163" s="5"/>
      <c r="E163" s="5"/>
      <c r="F163" s="5"/>
      <c r="G163" s="5"/>
      <c r="H163" s="5"/>
      <c r="I163" s="5"/>
    </row>
    <row r="164" spans="1:9">
      <c r="A164" s="5"/>
      <c r="B164" s="5"/>
      <c r="C164" s="5"/>
      <c r="D164" s="5"/>
      <c r="E164" s="5"/>
      <c r="F164" s="5"/>
      <c r="G164" s="5"/>
      <c r="H164" s="5"/>
      <c r="I164" s="5"/>
    </row>
    <row r="165" spans="1:9">
      <c r="A165" s="5"/>
      <c r="B165" s="5"/>
      <c r="C165" s="5"/>
      <c r="D165" s="5"/>
      <c r="E165" s="5"/>
      <c r="F165" s="5"/>
      <c r="G165" s="5"/>
      <c r="H165" s="5"/>
      <c r="I165" s="5"/>
    </row>
    <row r="166" spans="1:9">
      <c r="A166" s="5"/>
      <c r="B166" s="5"/>
      <c r="C166" s="5"/>
      <c r="D166" s="5"/>
      <c r="E166" s="5"/>
      <c r="F166" s="5"/>
      <c r="G166" s="5"/>
      <c r="H166" s="5"/>
      <c r="I166" s="5"/>
    </row>
    <row r="167" spans="1:9">
      <c r="A167" s="5"/>
      <c r="B167" s="5"/>
      <c r="C167" s="5"/>
      <c r="D167" s="5"/>
      <c r="E167" s="5"/>
      <c r="F167" s="5"/>
      <c r="G167" s="5"/>
      <c r="H167" s="5"/>
      <c r="I167" s="5"/>
    </row>
    <row r="168" spans="1:9">
      <c r="A168" s="5"/>
      <c r="B168" s="5"/>
      <c r="C168" s="5"/>
      <c r="D168" s="5"/>
      <c r="E168" s="5"/>
      <c r="F168" s="5"/>
      <c r="G168" s="5"/>
      <c r="H168" s="5"/>
      <c r="I168" s="5"/>
    </row>
    <row r="169" spans="1:9">
      <c r="A169" s="5"/>
      <c r="B169" s="5"/>
      <c r="C169" s="5"/>
      <c r="D169" s="5"/>
      <c r="E169" s="5"/>
      <c r="F169" s="5"/>
      <c r="G169" s="5"/>
      <c r="H169" s="5"/>
      <c r="I169" s="5"/>
    </row>
    <row r="170" spans="1:9">
      <c r="A170" s="5"/>
      <c r="B170" s="5"/>
      <c r="C170" s="5"/>
      <c r="D170" s="5"/>
      <c r="E170" s="5"/>
      <c r="F170" s="5"/>
      <c r="G170" s="5"/>
      <c r="H170" s="5"/>
      <c r="I170" s="5"/>
    </row>
    <row r="171" spans="1:9">
      <c r="A171" s="5"/>
      <c r="B171" s="5"/>
      <c r="C171" s="5"/>
      <c r="D171" s="5"/>
      <c r="E171" s="5"/>
      <c r="F171" s="5"/>
      <c r="G171" s="5"/>
      <c r="H171" s="5"/>
      <c r="I171" s="5"/>
    </row>
    <row r="172" spans="1:9">
      <c r="A172" s="5"/>
      <c r="B172" s="5"/>
      <c r="C172" s="5"/>
      <c r="D172" s="5"/>
      <c r="E172" s="5"/>
      <c r="F172" s="5"/>
      <c r="G172" s="5"/>
      <c r="H172" s="5"/>
      <c r="I172" s="5"/>
    </row>
    <row r="173" spans="1:9">
      <c r="A173" s="5"/>
      <c r="B173" s="5"/>
      <c r="C173" s="5"/>
      <c r="D173" s="5"/>
      <c r="E173" s="5"/>
      <c r="F173" s="5"/>
      <c r="G173" s="5"/>
      <c r="H173" s="5"/>
      <c r="I173" s="5"/>
    </row>
    <row r="174" spans="1:9">
      <c r="A174" s="5"/>
      <c r="B174" s="5"/>
      <c r="C174" s="5"/>
      <c r="D174" s="5"/>
      <c r="E174" s="5"/>
      <c r="F174" s="5"/>
      <c r="G174" s="5"/>
      <c r="H174" s="5"/>
      <c r="I174" s="5"/>
    </row>
    <row r="175" spans="1:9">
      <c r="A175" s="5"/>
      <c r="B175" s="5"/>
      <c r="C175" s="5"/>
      <c r="D175" s="5"/>
      <c r="E175" s="5"/>
      <c r="F175" s="5"/>
      <c r="G175" s="5"/>
      <c r="H175" s="5"/>
      <c r="I175" s="5"/>
    </row>
    <row r="176" spans="1:9">
      <c r="A176" s="5"/>
      <c r="B176" s="5"/>
      <c r="C176" s="5"/>
      <c r="D176" s="5"/>
      <c r="E176" s="5"/>
      <c r="F176" s="5"/>
      <c r="G176" s="5"/>
      <c r="H176" s="5"/>
      <c r="I176" s="5"/>
    </row>
    <row r="177" spans="1:9">
      <c r="A177" s="5"/>
      <c r="B177" s="5"/>
      <c r="C177" s="5"/>
      <c r="D177" s="5"/>
      <c r="E177" s="5"/>
      <c r="F177" s="5"/>
      <c r="G177" s="5"/>
      <c r="H177" s="5"/>
      <c r="I177" s="5"/>
    </row>
    <row r="178" spans="1:9">
      <c r="A178" s="5"/>
      <c r="B178" s="5"/>
      <c r="C178" s="5"/>
      <c r="D178" s="5"/>
      <c r="E178" s="5"/>
      <c r="F178" s="5"/>
      <c r="G178" s="5"/>
      <c r="H178" s="5"/>
      <c r="I178" s="5"/>
    </row>
    <row r="179" spans="1:9">
      <c r="A179" s="5"/>
      <c r="B179" s="5"/>
      <c r="C179" s="5"/>
      <c r="D179" s="5"/>
      <c r="E179" s="5"/>
      <c r="F179" s="5"/>
      <c r="G179" s="5"/>
      <c r="H179" s="5"/>
      <c r="I179" s="5"/>
    </row>
    <row r="180" spans="1:9">
      <c r="A180" s="5"/>
      <c r="B180" s="5"/>
      <c r="C180" s="5"/>
      <c r="D180" s="5"/>
      <c r="E180" s="5"/>
      <c r="F180" s="5"/>
      <c r="G180" s="5"/>
      <c r="H180" s="5"/>
      <c r="I180" s="5"/>
    </row>
    <row r="181" spans="1:9">
      <c r="A181" s="5"/>
      <c r="B181" s="5"/>
      <c r="C181" s="5"/>
      <c r="D181" s="5"/>
      <c r="E181" s="5"/>
      <c r="F181" s="5"/>
      <c r="G181" s="5"/>
      <c r="H181" s="5"/>
      <c r="I181" s="5"/>
    </row>
    <row r="182" spans="1:9">
      <c r="A182" s="5"/>
      <c r="B182" s="5"/>
      <c r="C182" s="5"/>
      <c r="D182" s="5"/>
      <c r="E182" s="5"/>
      <c r="F182" s="5"/>
      <c r="G182" s="5"/>
      <c r="H182" s="5"/>
      <c r="I182" s="5"/>
    </row>
    <row r="183" spans="1:9">
      <c r="A183" s="5"/>
      <c r="B183" s="5"/>
      <c r="C183" s="5"/>
      <c r="D183" s="5"/>
      <c r="E183" s="5"/>
      <c r="F183" s="5"/>
      <c r="G183" s="5"/>
      <c r="H183" s="5"/>
      <c r="I183" s="5"/>
    </row>
    <row r="184" spans="1:9">
      <c r="A184" s="5"/>
      <c r="B184" s="5"/>
      <c r="C184" s="5"/>
      <c r="D184" s="5"/>
      <c r="E184" s="5"/>
      <c r="F184" s="5"/>
      <c r="G184" s="5"/>
      <c r="H184" s="5"/>
      <c r="I184" s="5"/>
    </row>
    <row r="185" spans="1:9">
      <c r="A185" s="5"/>
      <c r="B185" s="5"/>
      <c r="C185" s="5"/>
      <c r="D185" s="5"/>
      <c r="E185" s="5"/>
      <c r="F185" s="5"/>
      <c r="G185" s="5"/>
      <c r="H185" s="5"/>
      <c r="I185" s="5"/>
    </row>
    <row r="186" spans="1:9">
      <c r="A186" s="5"/>
      <c r="B186" s="5"/>
      <c r="C186" s="5"/>
      <c r="D186" s="5"/>
      <c r="E186" s="5"/>
      <c r="F186" s="5"/>
      <c r="G186" s="5"/>
      <c r="H186" s="5"/>
      <c r="I186" s="5"/>
    </row>
    <row r="187" spans="1:9">
      <c r="A187" s="5"/>
      <c r="B187" s="5"/>
      <c r="C187" s="5"/>
      <c r="D187" s="5"/>
      <c r="E187" s="5"/>
      <c r="F187" s="5"/>
      <c r="G187" s="5"/>
      <c r="H187" s="5"/>
      <c r="I187" s="5"/>
    </row>
    <row r="188" spans="1:9">
      <c r="A188" s="5"/>
      <c r="B188" s="5"/>
      <c r="C188" s="5"/>
      <c r="D188" s="5"/>
      <c r="E188" s="5"/>
      <c r="F188" s="5"/>
      <c r="G188" s="5"/>
      <c r="H188" s="5"/>
      <c r="I188" s="5"/>
    </row>
    <row r="189" spans="1:9">
      <c r="A189" s="5"/>
      <c r="B189" s="5"/>
      <c r="C189" s="5"/>
      <c r="D189" s="5"/>
      <c r="E189" s="5"/>
      <c r="F189" s="5"/>
      <c r="G189" s="5"/>
      <c r="H189" s="5"/>
      <c r="I189" s="5"/>
    </row>
    <row r="190" spans="1:9">
      <c r="A190" s="5"/>
      <c r="B190" s="5"/>
      <c r="C190" s="5"/>
      <c r="D190" s="5"/>
      <c r="E190" s="5"/>
      <c r="F190" s="5"/>
      <c r="G190" s="5"/>
      <c r="H190" s="5"/>
      <c r="I190" s="5"/>
    </row>
    <row r="191" spans="1:9">
      <c r="A191" s="5"/>
      <c r="B191" s="5"/>
      <c r="C191" s="5"/>
      <c r="D191" s="5"/>
      <c r="E191" s="5"/>
      <c r="F191" s="5"/>
      <c r="G191" s="5"/>
      <c r="H191" s="5"/>
      <c r="I191" s="5"/>
    </row>
    <row r="192" spans="1:9">
      <c r="A192" s="5"/>
      <c r="B192" s="5"/>
      <c r="C192" s="5"/>
      <c r="D192" s="5"/>
      <c r="E192" s="5"/>
      <c r="F192" s="5"/>
      <c r="G192" s="5"/>
      <c r="H192" s="5"/>
      <c r="I192" s="5"/>
    </row>
    <row r="193" spans="1:9">
      <c r="A193" s="5"/>
      <c r="B193" s="5"/>
      <c r="C193" s="5"/>
      <c r="D193" s="5"/>
      <c r="E193" s="5"/>
      <c r="F193" s="5"/>
      <c r="G193" s="5"/>
      <c r="H193" s="5"/>
      <c r="I193" s="5"/>
    </row>
    <row r="194" spans="1:9">
      <c r="A194" s="5"/>
      <c r="B194" s="5"/>
      <c r="C194" s="5"/>
      <c r="D194" s="5"/>
      <c r="E194" s="5"/>
      <c r="F194" s="5"/>
      <c r="G194" s="5"/>
      <c r="H194" s="5"/>
      <c r="I194" s="5"/>
    </row>
    <row r="195" spans="1:9">
      <c r="A195" s="5"/>
      <c r="B195" s="5"/>
      <c r="C195" s="5"/>
      <c r="D195" s="5"/>
      <c r="E195" s="5"/>
      <c r="F195" s="5"/>
      <c r="G195" s="5"/>
      <c r="H195" s="5"/>
      <c r="I195" s="5"/>
    </row>
    <row r="196" spans="1:9">
      <c r="A196" s="5"/>
      <c r="B196" s="5"/>
      <c r="C196" s="5"/>
      <c r="D196" s="5"/>
      <c r="E196" s="5"/>
      <c r="F196" s="5"/>
      <c r="G196" s="5"/>
      <c r="H196" s="5"/>
      <c r="I196" s="5"/>
    </row>
    <row r="197" spans="1:9">
      <c r="A197" s="5"/>
      <c r="B197" s="5"/>
      <c r="C197" s="5"/>
      <c r="D197" s="5"/>
      <c r="E197" s="5"/>
      <c r="F197" s="5"/>
      <c r="G197" s="5"/>
      <c r="H197" s="5"/>
      <c r="I197" s="5"/>
    </row>
    <row r="198" spans="1:9">
      <c r="A198" s="5"/>
      <c r="B198" s="5"/>
      <c r="C198" s="5"/>
      <c r="D198" s="5"/>
      <c r="E198" s="5"/>
      <c r="F198" s="5"/>
      <c r="G198" s="5"/>
      <c r="H198" s="5"/>
      <c r="I198" s="5"/>
    </row>
    <row r="199" spans="1:9">
      <c r="A199" s="5"/>
      <c r="B199" s="5"/>
      <c r="C199" s="5"/>
      <c r="D199" s="5"/>
      <c r="E199" s="5"/>
      <c r="F199" s="5"/>
      <c r="G199" s="5"/>
      <c r="H199" s="5"/>
      <c r="I199" s="5"/>
    </row>
    <row r="200" spans="1:9">
      <c r="A200" s="5"/>
      <c r="B200" s="5"/>
      <c r="C200" s="5"/>
      <c r="D200" s="5"/>
      <c r="E200" s="5"/>
      <c r="F200" s="5"/>
      <c r="G200" s="5"/>
      <c r="H200" s="5"/>
      <c r="I200" s="5"/>
    </row>
    <row r="201" spans="1:9">
      <c r="A201" s="5"/>
      <c r="B201" s="5"/>
      <c r="C201" s="5"/>
      <c r="D201" s="5"/>
      <c r="E201" s="5"/>
      <c r="F201" s="5"/>
      <c r="G201" s="5"/>
      <c r="H201" s="5"/>
      <c r="I201" s="5"/>
    </row>
    <row r="202" spans="1:9">
      <c r="A202" s="5"/>
      <c r="B202" s="5"/>
      <c r="C202" s="5"/>
      <c r="D202" s="5"/>
      <c r="E202" s="5"/>
      <c r="F202" s="5"/>
      <c r="G202" s="5"/>
      <c r="H202" s="5"/>
      <c r="I202" s="5"/>
    </row>
    <row r="203" spans="1:9">
      <c r="A203" s="5"/>
      <c r="B203" s="5"/>
      <c r="C203" s="5"/>
      <c r="D203" s="5"/>
      <c r="E203" s="5"/>
      <c r="F203" s="5"/>
      <c r="G203" s="5"/>
      <c r="H203" s="5"/>
      <c r="I203" s="5"/>
    </row>
    <row r="204" spans="1:9">
      <c r="A204" s="5"/>
      <c r="B204" s="5"/>
      <c r="C204" s="5"/>
      <c r="D204" s="5"/>
      <c r="E204" s="5"/>
      <c r="F204" s="5"/>
      <c r="G204" s="5"/>
      <c r="H204" s="5"/>
      <c r="I204" s="5"/>
    </row>
    <row r="205" spans="1:9">
      <c r="A205" s="5"/>
      <c r="B205" s="5"/>
      <c r="C205" s="5"/>
      <c r="D205" s="5"/>
      <c r="E205" s="5"/>
      <c r="F205" s="5"/>
      <c r="G205" s="5"/>
      <c r="H205" s="5"/>
      <c r="I205" s="5"/>
    </row>
    <row r="206" spans="1:9">
      <c r="A206" s="5"/>
      <c r="B206" s="5"/>
      <c r="C206" s="5"/>
      <c r="D206" s="5"/>
      <c r="E206" s="5"/>
      <c r="F206" s="5"/>
      <c r="G206" s="5"/>
      <c r="H206" s="5"/>
      <c r="I206" s="5"/>
    </row>
    <row r="207" spans="1:9">
      <c r="A207" s="5"/>
      <c r="B207" s="5"/>
      <c r="C207" s="5"/>
      <c r="D207" s="5"/>
      <c r="E207" s="5"/>
      <c r="F207" s="5"/>
      <c r="G207" s="5"/>
      <c r="H207" s="5"/>
      <c r="I207" s="5"/>
    </row>
    <row r="208" spans="1:9">
      <c r="A208" s="5"/>
      <c r="B208" s="5"/>
      <c r="C208" s="5"/>
      <c r="D208" s="5"/>
      <c r="E208" s="5"/>
      <c r="F208" s="5"/>
      <c r="G208" s="5"/>
      <c r="H208" s="5"/>
      <c r="I208" s="5"/>
    </row>
    <row r="209" spans="1:9">
      <c r="A209" s="5"/>
      <c r="B209" s="5"/>
      <c r="C209" s="5"/>
      <c r="D209" s="5"/>
      <c r="E209" s="5"/>
      <c r="F209" s="5"/>
      <c r="G209" s="5"/>
      <c r="H209" s="5"/>
      <c r="I209" s="5"/>
    </row>
    <row r="210" spans="1:9">
      <c r="A210" s="5"/>
      <c r="B210" s="5"/>
      <c r="C210" s="5"/>
      <c r="D210" s="5"/>
      <c r="E210" s="5"/>
      <c r="F210" s="5"/>
      <c r="G210" s="5"/>
      <c r="H210" s="5"/>
      <c r="I210" s="5"/>
    </row>
    <row r="211" spans="1:9">
      <c r="A211" s="5"/>
      <c r="B211" s="5"/>
      <c r="C211" s="5"/>
      <c r="D211" s="5"/>
      <c r="E211" s="5"/>
      <c r="F211" s="5"/>
      <c r="G211" s="5"/>
      <c r="H211" s="5"/>
      <c r="I211" s="5"/>
    </row>
    <row r="212" spans="1:9">
      <c r="A212" s="5"/>
      <c r="B212" s="5"/>
      <c r="C212" s="5"/>
      <c r="D212" s="5"/>
      <c r="E212" s="5"/>
      <c r="F212" s="5"/>
      <c r="G212" s="5"/>
      <c r="H212" s="5"/>
      <c r="I212" s="5"/>
    </row>
    <row r="213" spans="1:9">
      <c r="A213" s="5"/>
      <c r="B213" s="5"/>
      <c r="C213" s="5"/>
      <c r="D213" s="5"/>
      <c r="E213" s="5"/>
      <c r="F213" s="5"/>
      <c r="G213" s="5"/>
      <c r="H213" s="5"/>
      <c r="I213" s="5"/>
    </row>
    <row r="214" spans="1:9">
      <c r="A214" s="5"/>
      <c r="B214" s="5"/>
      <c r="C214" s="5"/>
      <c r="D214" s="5"/>
      <c r="E214" s="5"/>
      <c r="F214" s="5"/>
      <c r="G214" s="5"/>
      <c r="H214" s="5"/>
      <c r="I214" s="5"/>
    </row>
    <row r="215" spans="1:9">
      <c r="A215" s="5"/>
      <c r="B215" s="5"/>
      <c r="C215" s="5"/>
      <c r="D215" s="5"/>
      <c r="E215" s="5"/>
      <c r="F215" s="5"/>
      <c r="G215" s="5"/>
      <c r="H215" s="5"/>
      <c r="I215" s="5"/>
    </row>
    <row r="216" spans="1:9">
      <c r="A216" s="5"/>
      <c r="B216" s="5"/>
      <c r="C216" s="5"/>
      <c r="D216" s="5"/>
      <c r="E216" s="5"/>
      <c r="F216" s="5"/>
      <c r="G216" s="5"/>
      <c r="H216" s="5"/>
      <c r="I216" s="5"/>
    </row>
    <row r="217" spans="1:9">
      <c r="A217" s="5"/>
      <c r="B217" s="5"/>
      <c r="C217" s="5"/>
      <c r="D217" s="5"/>
      <c r="E217" s="5"/>
      <c r="F217" s="5"/>
      <c r="G217" s="5"/>
      <c r="H217" s="5"/>
      <c r="I217" s="5"/>
    </row>
    <row r="218" spans="1:9">
      <c r="A218" s="5"/>
      <c r="B218" s="5"/>
      <c r="C218" s="5"/>
      <c r="D218" s="5"/>
      <c r="E218" s="5"/>
      <c r="F218" s="5"/>
      <c r="G218" s="5"/>
      <c r="H218" s="5"/>
      <c r="I218" s="5"/>
    </row>
    <row r="219" spans="1:9">
      <c r="A219" s="5"/>
      <c r="B219" s="5"/>
      <c r="C219" s="5"/>
      <c r="D219" s="5"/>
      <c r="E219" s="5"/>
      <c r="F219" s="5"/>
      <c r="G219" s="5"/>
      <c r="H219" s="5"/>
      <c r="I219" s="5"/>
    </row>
    <row r="220" spans="1:9">
      <c r="A220" s="5"/>
      <c r="B220" s="5"/>
      <c r="C220" s="5"/>
      <c r="D220" s="5"/>
      <c r="E220" s="5"/>
      <c r="F220" s="5"/>
      <c r="G220" s="5"/>
      <c r="H220" s="5"/>
      <c r="I220" s="5"/>
    </row>
    <row r="221" spans="1:9">
      <c r="A221" s="5"/>
      <c r="B221" s="5"/>
      <c r="C221" s="5"/>
      <c r="D221" s="5"/>
      <c r="E221" s="5"/>
      <c r="F221" s="5"/>
      <c r="G221" s="5"/>
      <c r="H221" s="5"/>
      <c r="I221" s="5"/>
    </row>
    <row r="222" spans="1:9">
      <c r="A222" s="5"/>
      <c r="B222" s="5"/>
      <c r="C222" s="5"/>
      <c r="D222" s="5"/>
      <c r="E222" s="5"/>
      <c r="F222" s="5"/>
      <c r="G222" s="5"/>
      <c r="H222" s="5"/>
      <c r="I222" s="5"/>
    </row>
    <row r="223" spans="1:9">
      <c r="A223" s="5"/>
      <c r="B223" s="5"/>
      <c r="C223" s="5"/>
      <c r="D223" s="5"/>
      <c r="E223" s="5"/>
      <c r="F223" s="5"/>
      <c r="G223" s="5"/>
      <c r="H223" s="5"/>
      <c r="I223" s="5"/>
    </row>
    <row r="224" spans="1:9">
      <c r="A224" s="5"/>
      <c r="B224" s="5"/>
      <c r="C224" s="5"/>
      <c r="D224" s="5"/>
      <c r="E224" s="5"/>
      <c r="F224" s="5"/>
      <c r="G224" s="5"/>
      <c r="H224" s="5"/>
      <c r="I224" s="5"/>
    </row>
    <row r="225" spans="1:9">
      <c r="A225" s="5"/>
      <c r="B225" s="5"/>
      <c r="C225" s="5"/>
      <c r="D225" s="5"/>
      <c r="E225" s="5"/>
      <c r="F225" s="5"/>
      <c r="G225" s="5"/>
      <c r="H225" s="5"/>
      <c r="I225" s="5"/>
    </row>
    <row r="226" spans="1:9">
      <c r="A226" s="5"/>
      <c r="B226" s="5"/>
      <c r="C226" s="5"/>
      <c r="D226" s="5"/>
      <c r="E226" s="5"/>
      <c r="F226" s="5"/>
      <c r="G226" s="5"/>
      <c r="H226" s="5"/>
      <c r="I226" s="5"/>
    </row>
    <row r="227" spans="1:9">
      <c r="A227" s="5"/>
      <c r="B227" s="5"/>
      <c r="C227" s="5"/>
      <c r="D227" s="5"/>
      <c r="E227" s="5"/>
      <c r="F227" s="5"/>
      <c r="G227" s="5"/>
      <c r="H227" s="5"/>
      <c r="I227" s="5"/>
    </row>
    <row r="228" spans="1:9">
      <c r="A228" s="5"/>
      <c r="B228" s="5"/>
      <c r="C228" s="5"/>
      <c r="D228" s="5"/>
      <c r="E228" s="5"/>
      <c r="F228" s="5"/>
      <c r="G228" s="5"/>
      <c r="H228" s="5"/>
      <c r="I228" s="5"/>
    </row>
    <row r="229" spans="1:9">
      <c r="A229" s="5"/>
      <c r="B229" s="5"/>
      <c r="C229" s="5"/>
      <c r="D229" s="5"/>
      <c r="E229" s="5"/>
      <c r="F229" s="5"/>
      <c r="G229" s="5"/>
      <c r="H229" s="5"/>
      <c r="I229" s="5"/>
    </row>
  </sheetData>
  <mergeCells count="172">
    <mergeCell ref="B68:C68"/>
    <mergeCell ref="D64:F64"/>
    <mergeCell ref="G64:L64"/>
    <mergeCell ref="D65:F65"/>
    <mergeCell ref="G65:L65"/>
    <mergeCell ref="D66:F66"/>
    <mergeCell ref="G66:L66"/>
    <mergeCell ref="D67:F68"/>
    <mergeCell ref="G67:L68"/>
    <mergeCell ref="G58:L58"/>
    <mergeCell ref="G59:L59"/>
    <mergeCell ref="G60:L60"/>
    <mergeCell ref="G61:L61"/>
    <mergeCell ref="A62:F62"/>
    <mergeCell ref="G62:L62"/>
    <mergeCell ref="A55:L55"/>
    <mergeCell ref="D56:F56"/>
    <mergeCell ref="G56:L56"/>
    <mergeCell ref="B56:C56"/>
    <mergeCell ref="D60:F60"/>
    <mergeCell ref="B61:C61"/>
    <mergeCell ref="D61:F61"/>
    <mergeCell ref="G57:L57"/>
    <mergeCell ref="A46:C46"/>
    <mergeCell ref="G47:L48"/>
    <mergeCell ref="G50:L51"/>
    <mergeCell ref="B53:C53"/>
    <mergeCell ref="D53:F53"/>
    <mergeCell ref="A54:F54"/>
    <mergeCell ref="G54:L54"/>
    <mergeCell ref="A47:A49"/>
    <mergeCell ref="A50:A51"/>
    <mergeCell ref="A52:A53"/>
    <mergeCell ref="G52:L53"/>
    <mergeCell ref="B50:C50"/>
    <mergeCell ref="D50:F50"/>
    <mergeCell ref="B51:C51"/>
    <mergeCell ref="D51:F51"/>
    <mergeCell ref="B52:C52"/>
    <mergeCell ref="D52:F52"/>
    <mergeCell ref="D46:F46"/>
    <mergeCell ref="G46:L46"/>
    <mergeCell ref="B47:C47"/>
    <mergeCell ref="D47:F47"/>
    <mergeCell ref="B48:C48"/>
    <mergeCell ref="D48:F48"/>
    <mergeCell ref="B49:C49"/>
    <mergeCell ref="A44:L44"/>
    <mergeCell ref="D45:F45"/>
    <mergeCell ref="G45:L45"/>
    <mergeCell ref="A45:C45"/>
    <mergeCell ref="G43:L43"/>
    <mergeCell ref="B33:C33"/>
    <mergeCell ref="D34:F34"/>
    <mergeCell ref="G34:L34"/>
    <mergeCell ref="D38:F38"/>
    <mergeCell ref="G38:L38"/>
    <mergeCell ref="D39:F39"/>
    <mergeCell ref="G39:L39"/>
    <mergeCell ref="D40:F40"/>
    <mergeCell ref="G40:L40"/>
    <mergeCell ref="A43:F43"/>
    <mergeCell ref="B34:C34"/>
    <mergeCell ref="B35:C35"/>
    <mergeCell ref="B36:C36"/>
    <mergeCell ref="B37:C37"/>
    <mergeCell ref="D33:F33"/>
    <mergeCell ref="G33:L33"/>
    <mergeCell ref="D41:F41"/>
    <mergeCell ref="G41:L41"/>
    <mergeCell ref="D42:F42"/>
    <mergeCell ref="G42:L42"/>
    <mergeCell ref="B38:C38"/>
    <mergeCell ref="B39:C39"/>
    <mergeCell ref="B40:C40"/>
    <mergeCell ref="B41:C41"/>
    <mergeCell ref="B42:C42"/>
    <mergeCell ref="D35:F35"/>
    <mergeCell ref="D36:F36"/>
    <mergeCell ref="D37:F37"/>
    <mergeCell ref="G35:L35"/>
    <mergeCell ref="G36:L36"/>
    <mergeCell ref="G37:L37"/>
    <mergeCell ref="A32:L32"/>
    <mergeCell ref="A22:L22"/>
    <mergeCell ref="A23:A24"/>
    <mergeCell ref="B23:C23"/>
    <mergeCell ref="D23:F23"/>
    <mergeCell ref="G23:L23"/>
    <mergeCell ref="B24:C24"/>
    <mergeCell ref="D24:F24"/>
    <mergeCell ref="G24:L24"/>
    <mergeCell ref="A25:L25"/>
    <mergeCell ref="D27:F27"/>
    <mergeCell ref="G27:L27"/>
    <mergeCell ref="G31:L31"/>
    <mergeCell ref="A27:C27"/>
    <mergeCell ref="A28:C28"/>
    <mergeCell ref="A29:C29"/>
    <mergeCell ref="A30:C30"/>
    <mergeCell ref="D26:F26"/>
    <mergeCell ref="G20:L20"/>
    <mergeCell ref="G21:L21"/>
    <mergeCell ref="D20:F20"/>
    <mergeCell ref="D21:F21"/>
    <mergeCell ref="D30:F30"/>
    <mergeCell ref="G28:L28"/>
    <mergeCell ref="G29:L29"/>
    <mergeCell ref="G30:L30"/>
    <mergeCell ref="A31:F31"/>
    <mergeCell ref="A26:C26"/>
    <mergeCell ref="A72:F73"/>
    <mergeCell ref="G72:L73"/>
    <mergeCell ref="D14:F14"/>
    <mergeCell ref="D15:F15"/>
    <mergeCell ref="D16:F16"/>
    <mergeCell ref="D17:F17"/>
    <mergeCell ref="D18:F18"/>
    <mergeCell ref="A71:F71"/>
    <mergeCell ref="G71:L71"/>
    <mergeCell ref="A69:L69"/>
    <mergeCell ref="A70:L70"/>
    <mergeCell ref="A63:C63"/>
    <mergeCell ref="D63:L63"/>
    <mergeCell ref="B64:C64"/>
    <mergeCell ref="B65:C65"/>
    <mergeCell ref="B66:C66"/>
    <mergeCell ref="B67:C67"/>
    <mergeCell ref="B57:C57"/>
    <mergeCell ref="D57:F57"/>
    <mergeCell ref="B58:C58"/>
    <mergeCell ref="D58:F58"/>
    <mergeCell ref="B59:C59"/>
    <mergeCell ref="D59:F59"/>
    <mergeCell ref="B60:C60"/>
    <mergeCell ref="D49:F49"/>
    <mergeCell ref="G49:L49"/>
    <mergeCell ref="B20:C20"/>
    <mergeCell ref="G26:L26"/>
    <mergeCell ref="D28:F28"/>
    <mergeCell ref="D29:F29"/>
    <mergeCell ref="A19:L19"/>
    <mergeCell ref="A12:L12"/>
    <mergeCell ref="B14:C14"/>
    <mergeCell ref="B15:C15"/>
    <mergeCell ref="A14:A15"/>
    <mergeCell ref="G14:L14"/>
    <mergeCell ref="G15:L15"/>
    <mergeCell ref="A16:C16"/>
    <mergeCell ref="A17:C17"/>
    <mergeCell ref="A18:C18"/>
    <mergeCell ref="G16:L16"/>
    <mergeCell ref="G17:L17"/>
    <mergeCell ref="G18:L18"/>
    <mergeCell ref="D13:F13"/>
    <mergeCell ref="G13:L13"/>
    <mergeCell ref="A13:C13"/>
    <mergeCell ref="A20:A21"/>
    <mergeCell ref="B21:C21"/>
    <mergeCell ref="B10:H10"/>
    <mergeCell ref="I10:J10"/>
    <mergeCell ref="K10:L10"/>
    <mergeCell ref="B11:H11"/>
    <mergeCell ref="I11:J11"/>
    <mergeCell ref="K11:L11"/>
    <mergeCell ref="A1:A5"/>
    <mergeCell ref="B1:L5"/>
    <mergeCell ref="A6:L7"/>
    <mergeCell ref="A8:L8"/>
    <mergeCell ref="B9:H9"/>
    <mergeCell ref="I9:J9"/>
    <mergeCell ref="K9:L9"/>
  </mergeCells>
  <printOptions horizontalCentered="1"/>
  <pageMargins left="0.25" right="0.25" top="0.75" bottom="0.75" header="0.3" footer="0.3"/>
  <pageSetup paperSize="9" scale="63" fitToWidth="0" fitToHeight="0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3069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EPV</vt:lpstr>
      <vt:lpstr>EPV!Area_de_impressao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Felzemburgh</dc:creator>
  <cp:lastModifiedBy>Maurício Felzemburgh</cp:lastModifiedBy>
  <cp:revision>125</cp:revision>
  <cp:lastPrinted>2017-10-21T04:31:44Z</cp:lastPrinted>
  <dcterms:created xsi:type="dcterms:W3CDTF">2017-06-05T14:41:21Z</dcterms:created>
  <dcterms:modified xsi:type="dcterms:W3CDTF">2021-10-26T22:17:41Z</dcterms:modified>
</cp:coreProperties>
</file>
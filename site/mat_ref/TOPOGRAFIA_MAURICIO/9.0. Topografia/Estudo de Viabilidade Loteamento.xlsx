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7afc54bf8a9b02fd/Documentos/2.0 Ensino/2.2. CIMATEC/9.0. Topografia/"/>
    </mc:Choice>
  </mc:AlternateContent>
  <xr:revisionPtr revIDLastSave="39" documentId="13_ncr:1_{83C3E7A8-65DD-45A7-98FA-08CFCE479C40}" xr6:coauthVersionLast="47" xr6:coauthVersionMax="47" xr10:uidLastSave="{54FC70D7-711F-4464-B827-68F10F4C1D00}"/>
  <bookViews>
    <workbookView xWindow="-120" yWindow="-120" windowWidth="20730" windowHeight="11040" xr2:uid="{00000000-000D-0000-FFFF-FFFF00000000}"/>
  </bookViews>
  <sheets>
    <sheet name="EPV" sheetId="3" r:id="rId1"/>
  </sheets>
  <definedNames>
    <definedName name="_xlnm.Print_Area" localSheetId="0">EPV!$A$1:$L$65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3" l="1"/>
  <c r="B36" i="3"/>
  <c r="S13" i="3" l="1"/>
  <c r="R13" i="3"/>
  <c r="S12" i="3"/>
  <c r="R12" i="3"/>
  <c r="M37" i="3"/>
  <c r="B59" i="3"/>
  <c r="N15" i="3"/>
  <c r="G18" i="3"/>
  <c r="G9" i="3"/>
  <c r="G10" i="3"/>
  <c r="G11" i="3"/>
  <c r="B29" i="3" s="1"/>
  <c r="G8" i="3"/>
  <c r="D12" i="3"/>
  <c r="G15" i="3" l="1"/>
  <c r="B30" i="3"/>
  <c r="B35" i="3"/>
  <c r="B34" i="3"/>
  <c r="B31" i="3"/>
  <c r="B32" i="3"/>
  <c r="G32" i="3" s="1"/>
  <c r="R31" i="3"/>
  <c r="P28" i="3"/>
  <c r="P31" i="3" s="1"/>
  <c r="Q31" i="3" s="1"/>
  <c r="Q43" i="3"/>
  <c r="G22" i="3"/>
  <c r="G30" i="3"/>
  <c r="G31" i="3" l="1"/>
  <c r="G29" i="3"/>
  <c r="G34" i="3"/>
  <c r="G35" i="3"/>
  <c r="B33" i="3"/>
  <c r="G33" i="3" s="1"/>
  <c r="G58" i="3" l="1"/>
  <c r="G40" i="3"/>
  <c r="G51" i="3"/>
  <c r="G41" i="3"/>
  <c r="G54" i="3"/>
  <c r="G46" i="3"/>
  <c r="G55" i="3"/>
  <c r="G52" i="3"/>
  <c r="G44" i="3"/>
  <c r="G48" i="3" l="1"/>
  <c r="B60" i="3" s="1"/>
  <c r="B28" i="3" l="1"/>
  <c r="G28" i="3" s="1"/>
  <c r="G37" i="3" s="1"/>
  <c r="S31" i="3"/>
  <c r="G23" i="3" l="1"/>
  <c r="B58" i="3"/>
  <c r="G53" i="3"/>
  <c r="G56" i="3" s="1"/>
  <c r="B61" i="3" s="1"/>
  <c r="G21" i="3"/>
  <c r="G25" i="3" s="1"/>
  <c r="B62" i="3" l="1"/>
  <c r="G59" i="3" l="1"/>
  <c r="G60" i="3" s="1"/>
  <c r="G61" i="3" s="1"/>
  <c r="N58" i="3"/>
</calcChain>
</file>

<file path=xl/sharedStrings.xml><?xml version="1.0" encoding="utf-8"?>
<sst xmlns="http://schemas.openxmlformats.org/spreadsheetml/2006/main" count="103" uniqueCount="78">
  <si>
    <t>Projeto</t>
  </si>
  <si>
    <t>Logradouro</t>
  </si>
  <si>
    <t>Cidade</t>
  </si>
  <si>
    <t>-</t>
  </si>
  <si>
    <t>Áreas Públicas Municipais</t>
  </si>
  <si>
    <t>Sistema Viário</t>
  </si>
  <si>
    <t>Áreas Privativas</t>
  </si>
  <si>
    <t>Área Total Urbanizada</t>
  </si>
  <si>
    <t>Unitário</t>
  </si>
  <si>
    <t>Total</t>
  </si>
  <si>
    <t>R$</t>
  </si>
  <si>
    <t>Despesas com ITBI</t>
  </si>
  <si>
    <t>Cartório e Escritura</t>
  </si>
  <si>
    <t>Resgistro de Imóveis</t>
  </si>
  <si>
    <t>Corretagem</t>
  </si>
  <si>
    <t>PIS/COFINS</t>
  </si>
  <si>
    <t>IRPJ</t>
  </si>
  <si>
    <t>Base de Cálculo</t>
  </si>
  <si>
    <t>Aliquota</t>
  </si>
  <si>
    <t>Adicional</t>
  </si>
  <si>
    <t>CSLL</t>
  </si>
  <si>
    <t>Alíquota</t>
  </si>
  <si>
    <t>IPTU</t>
  </si>
  <si>
    <t>VGV</t>
  </si>
  <si>
    <t>Marketing</t>
  </si>
  <si>
    <t>Taxa de administração</t>
  </si>
  <si>
    <t>Gestão de carteira</t>
  </si>
  <si>
    <t>Gestão de projetos</t>
  </si>
  <si>
    <t>Terreno</t>
  </si>
  <si>
    <t>Outros</t>
  </si>
  <si>
    <t>Custos</t>
  </si>
  <si>
    <t>Resultado</t>
  </si>
  <si>
    <t>Lucratividade</t>
  </si>
  <si>
    <t>IDENTIFICAÇÃO</t>
  </si>
  <si>
    <t>Verdes</t>
  </si>
  <si>
    <t>Institucionais</t>
  </si>
  <si>
    <r>
      <t>R$/m</t>
    </r>
    <r>
      <rPr>
        <vertAlign val="superscript"/>
        <sz val="8"/>
        <color theme="1"/>
        <rFont val="Arial"/>
        <family val="2"/>
      </rPr>
      <t>2</t>
    </r>
  </si>
  <si>
    <t>Valor Geral de Venda (VGV)</t>
  </si>
  <si>
    <t>Valor de Gleba Bruta (VGB)</t>
  </si>
  <si>
    <t>vb</t>
  </si>
  <si>
    <t>ÁREA (%)</t>
  </si>
  <si>
    <t>PERCENTUAL (%)</t>
  </si>
  <si>
    <t>VALOR (R$)</t>
  </si>
  <si>
    <t>CUSTO TOTAL (R$)</t>
  </si>
  <si>
    <t>% do VGV</t>
  </si>
  <si>
    <t>VALOR RELACIONADO</t>
  </si>
  <si>
    <t xml:space="preserve">% </t>
  </si>
  <si>
    <t>DU</t>
  </si>
  <si>
    <t>3.0 VALOR GLOBAL DE VENDA (VGV)</t>
  </si>
  <si>
    <t>2.0 APROVEITAMENTO DE ÁREAS</t>
  </si>
  <si>
    <t>1.0 DADOS GERAIS</t>
  </si>
  <si>
    <t>4.0. VALOR DA GLEBA BRUTA (VGB)</t>
  </si>
  <si>
    <t>5.0 DESPESAS DE COMPRA OU TRANSFERÊNCIA (DC)</t>
  </si>
  <si>
    <t>6.0 DESPESAS DE URBANIZAÇÃO (DU)</t>
  </si>
  <si>
    <t>8.0 OUTROS GASTOS</t>
  </si>
  <si>
    <t>10.0 INDICADORES</t>
  </si>
  <si>
    <t>9.0 RESUMO DESPESAS</t>
  </si>
  <si>
    <t>11.0. OBSERVAÇÕES</t>
  </si>
  <si>
    <t>Infraestrutura</t>
  </si>
  <si>
    <t>ESTUDO de PRELIMINAR DE VIABILIDADE PRELIMINAR</t>
  </si>
  <si>
    <t xml:space="preserve">LOTEAMENTO </t>
  </si>
  <si>
    <r>
      <t>CUSTO UNITÁRIO (R$/m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</si>
  <si>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r>
      <t>ÁREA (m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</si>
  <si>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t>Aprovação e Projetos (Área total)</t>
  </si>
  <si>
    <t>Topografia (Área líquida vendável)</t>
  </si>
  <si>
    <t>Limpeza (Área líquida vendável)</t>
  </si>
  <si>
    <t>Abertura de Vias (Área de Sistema Viário)</t>
  </si>
  <si>
    <t>Energia Elétrica/ Iluminação Pública (Área de Sistema Viário)</t>
  </si>
  <si>
    <t>Rede de Distribuição de Água (Área de Sistema Viário)</t>
  </si>
  <si>
    <t>Galerias de Águas Pluviais (Área de Sistema Viário)</t>
  </si>
  <si>
    <t>Esgoto Sanitário (Área de Sistema Viário)</t>
  </si>
  <si>
    <t>Pavimentação Asfáltica (Área de Sistema Viário)</t>
  </si>
  <si>
    <t>Índices com base em CUNHA, Vinícius Larsen da. Análise de viabilidade: estudo de caso de incorporação imobiliária. 2016.</t>
  </si>
  <si>
    <t>7.0 DESPESAS COM TRIBUTOS</t>
  </si>
  <si>
    <t>Tributos</t>
  </si>
  <si>
    <t>Base: 01/09/2021</t>
  </si>
  <si>
    <t>área pavimentada</t>
  </si>
  <si>
    <t> 313,99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</si>
</sst>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16]dd/mm/yy"/>
    <numFmt numFmtId="165" formatCode="[$-416]General"/>
    <numFmt numFmtId="166" formatCode="[$R$-416]&quot; &quot;#,##0.00;[Red]&quot;-&quot;[$R$-416]&quot; &quot;#,##0.00"/>
    <numFmt numFmtId="167" formatCode="0.00\ &quot;m²&quot;"/>
    <numFmt numFmtId="168" formatCode="&quot;R$&quot;\ #,##0.00"/>
  </numFmts>
  <fonts count="17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1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vertAlign val="superscript"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color rgb="FF000000"/>
      <name val="Arial"/>
      <family val="2"/>
    </font>
    <font>
      <b/>
      <sz val="10"/>
      <color rgb="FF000000"/>
      <name val="Arial"/>
      <family val="2"/>
    </font>
    <font>
      <sz val="24"/>
      <color rgb="FFEB575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theme="7" tint="0.39997558519241921"/>
        <bgColor rgb="FFDEEAF6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8">
    <xf numFmtId="0" fontId="0" fillId="0" borderId="0"/>
    <xf numFmtId="165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6" fontId="4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165" fontId="5" fillId="0" borderId="0" xfId="1" applyFont="1"/>
    <xf numFmtId="165" fontId="8" fillId="0" borderId="0" xfId="1" applyFont="1" applyAlignment="1">
      <alignment wrapText="1"/>
    </xf>
    <xf numFmtId="165" fontId="6" fillId="0" borderId="0" xfId="1" applyFont="1" applyAlignment="1">
      <alignment wrapText="1"/>
    </xf>
    <xf numFmtId="165" fontId="5" fillId="0" borderId="0" xfId="1" applyFont="1" applyAlignment="1">
      <alignment wrapText="1"/>
    </xf>
    <xf numFmtId="0" fontId="11" fillId="3" borderId="9" xfId="0" applyFont="1" applyFill="1" applyBorder="1" applyAlignment="1">
      <alignment horizontal="center" vertical="center"/>
    </xf>
    <xf numFmtId="167" fontId="13" fillId="5" borderId="9" xfId="0" applyNumberFormat="1" applyFont="1" applyFill="1" applyBorder="1"/>
    <xf numFmtId="4" fontId="11" fillId="3" borderId="9" xfId="0" applyNumberFormat="1" applyFont="1" applyFill="1" applyBorder="1" applyAlignment="1">
      <alignment horizontal="left" vertical="center"/>
    </xf>
    <xf numFmtId="4" fontId="10" fillId="3" borderId="9" xfId="0" applyNumberFormat="1" applyFont="1" applyFill="1" applyBorder="1" applyAlignment="1">
      <alignment horizontal="left" vertical="center"/>
    </xf>
    <xf numFmtId="165" fontId="7" fillId="2" borderId="9" xfId="1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4" fontId="11" fillId="3" borderId="10" xfId="0" applyNumberFormat="1" applyFont="1" applyFill="1" applyBorder="1" applyAlignment="1">
      <alignment horizontal="center" vertical="center"/>
    </xf>
    <xf numFmtId="4" fontId="11" fillId="3" borderId="11" xfId="0" applyNumberFormat="1" applyFont="1" applyFill="1" applyBorder="1" applyAlignment="1">
      <alignment horizontal="center" vertical="center"/>
    </xf>
    <xf numFmtId="4" fontId="11" fillId="3" borderId="12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4" fontId="11" fillId="6" borderId="9" xfId="0" applyNumberFormat="1" applyFont="1" applyFill="1" applyBorder="1" applyAlignment="1">
      <alignment horizontal="center" vertical="center"/>
    </xf>
    <xf numFmtId="167" fontId="13" fillId="5" borderId="9" xfId="0" applyNumberFormat="1" applyFont="1" applyFill="1" applyBorder="1" applyAlignment="1">
      <alignment horizontal="center"/>
    </xf>
    <xf numFmtId="2" fontId="0" fillId="7" borderId="1" xfId="0" applyNumberFormat="1" applyFill="1" applyBorder="1" applyAlignment="1">
      <alignment vertical="center" wrapText="1"/>
    </xf>
    <xf numFmtId="164" fontId="8" fillId="7" borderId="1" xfId="1" applyNumberFormat="1" applyFont="1" applyFill="1" applyBorder="1" applyAlignment="1">
      <alignment horizontal="center" vertical="center" wrapText="1"/>
    </xf>
    <xf numFmtId="2" fontId="11" fillId="3" borderId="14" xfId="0" applyNumberFormat="1" applyFont="1" applyFill="1" applyBorder="1" applyAlignment="1">
      <alignment horizontal="center" vertical="center"/>
    </xf>
    <xf numFmtId="165" fontId="7" fillId="2" borderId="3" xfId="1" applyFont="1" applyFill="1" applyBorder="1" applyAlignment="1">
      <alignment horizontal="left" vertical="center" wrapText="1"/>
    </xf>
    <xf numFmtId="165" fontId="7" fillId="2" borderId="9" xfId="1" applyFont="1" applyFill="1" applyBorder="1" applyAlignment="1">
      <alignment horizontal="left" vertical="center" wrapText="1"/>
    </xf>
    <xf numFmtId="165" fontId="7" fillId="2" borderId="9" xfId="1" applyFont="1" applyFill="1" applyBorder="1" applyAlignment="1">
      <alignment horizontal="center" vertical="center" wrapText="1"/>
    </xf>
    <xf numFmtId="168" fontId="11" fillId="3" borderId="9" xfId="0" applyNumberFormat="1" applyFont="1" applyFill="1" applyBorder="1" applyAlignment="1">
      <alignment horizontal="center" vertical="center"/>
    </xf>
    <xf numFmtId="4" fontId="11" fillId="3" borderId="9" xfId="0" applyNumberFormat="1" applyFont="1" applyFill="1" applyBorder="1" applyAlignment="1">
      <alignment horizontal="center" vertical="center"/>
    </xf>
    <xf numFmtId="2" fontId="11" fillId="3" borderId="10" xfId="0" applyNumberFormat="1" applyFont="1" applyFill="1" applyBorder="1" applyAlignment="1">
      <alignment horizontal="center" vertical="center"/>
    </xf>
    <xf numFmtId="2" fontId="11" fillId="3" borderId="11" xfId="0" applyNumberFormat="1" applyFont="1" applyFill="1" applyBorder="1" applyAlignment="1">
      <alignment horizontal="center" vertical="center"/>
    </xf>
    <xf numFmtId="2" fontId="11" fillId="3" borderId="12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/>
    </xf>
    <xf numFmtId="167" fontId="13" fillId="5" borderId="9" xfId="0" applyNumberFormat="1" applyFont="1" applyFill="1" applyBorder="1" applyAlignment="1">
      <alignment horizontal="left"/>
    </xf>
    <xf numFmtId="0" fontId="7" fillId="2" borderId="9" xfId="0" applyFont="1" applyFill="1" applyBorder="1" applyAlignment="1">
      <alignment horizontal="center" vertical="center" wrapText="1"/>
    </xf>
    <xf numFmtId="4" fontId="10" fillId="3" borderId="10" xfId="0" applyNumberFormat="1" applyFont="1" applyFill="1" applyBorder="1" applyAlignment="1">
      <alignment horizontal="left" vertical="center"/>
    </xf>
    <xf numFmtId="4" fontId="10" fillId="3" borderId="11" xfId="0" applyNumberFormat="1" applyFont="1" applyFill="1" applyBorder="1" applyAlignment="1">
      <alignment horizontal="left" vertical="center"/>
    </xf>
    <xf numFmtId="4" fontId="10" fillId="3" borderId="12" xfId="0" applyNumberFormat="1" applyFont="1" applyFill="1" applyBorder="1" applyAlignment="1">
      <alignment horizontal="left" vertical="center"/>
    </xf>
    <xf numFmtId="4" fontId="10" fillId="3" borderId="9" xfId="0" applyNumberFormat="1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0" fontId="11" fillId="3" borderId="9" xfId="0" applyNumberFormat="1" applyFont="1" applyFill="1" applyBorder="1" applyAlignment="1">
      <alignment horizontal="center" vertical="center"/>
    </xf>
    <xf numFmtId="4" fontId="11" fillId="3" borderId="14" xfId="0" applyNumberFormat="1" applyFont="1" applyFill="1" applyBorder="1" applyAlignment="1">
      <alignment horizontal="center" vertical="center"/>
    </xf>
    <xf numFmtId="4" fontId="5" fillId="0" borderId="0" xfId="1" applyNumberFormat="1" applyFont="1"/>
    <xf numFmtId="0" fontId="16" fillId="0" borderId="0" xfId="0" applyFont="1"/>
  </cellXfs>
  <cellStyles count="8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Normal 2" xfId="6" xr:uid="{00000000-0005-0000-0000-000004000000}"/>
    <cellStyle name="Result" xfId="4" xr:uid="{00000000-0005-0000-0000-000005000000}"/>
    <cellStyle name="Result2" xfId="5" xr:uid="{00000000-0005-0000-0000-000006000000}"/>
    <cellStyle name="Vírgula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21"/>
  <sheetViews>
    <sheetView tabSelected="1" view="pageBreakPreview" topLeftCell="A33" zoomScale="90" zoomScaleNormal="100" zoomScaleSheetLayoutView="90" workbookViewId="0">
      <selection activeCell="G36" sqref="G36:L36"/>
    </sheetView>
  </sheetViews>
  <sheetFormatPr defaultRowHeight="15"/>
  <cols>
    <col min="1" max="1" width="55.5703125" style="1" customWidth="1"/>
    <col min="2" max="2" width="12.28515625" style="1" customWidth="1"/>
    <col min="3" max="3" width="12.85546875" style="1" customWidth="1"/>
    <col min="4" max="4" width="5.7109375" style="1" customWidth="1"/>
    <col min="5" max="5" width="9" style="1" customWidth="1"/>
    <col min="6" max="6" width="6.42578125" style="1" customWidth="1"/>
    <col min="7" max="7" width="5.140625" style="1" customWidth="1"/>
    <col min="8" max="8" width="1.7109375" style="1" customWidth="1"/>
    <col min="9" max="9" width="7.140625" style="1" bestFit="1" customWidth="1"/>
    <col min="10" max="10" width="5.28515625" style="1" customWidth="1"/>
    <col min="11" max="11" width="5.42578125" style="1" customWidth="1"/>
    <col min="12" max="12" width="10.42578125" style="1" customWidth="1"/>
    <col min="13" max="17" width="9.7109375" style="1" customWidth="1"/>
    <col min="18" max="19" width="13.5703125" style="1" bestFit="1" customWidth="1"/>
    <col min="20" max="1022" width="9.7109375" style="1" customWidth="1"/>
    <col min="1023" max="1023" width="9.7109375" customWidth="1"/>
  </cols>
  <sheetData>
    <row r="1" spans="1:19" ht="26.25" customHeight="1">
      <c r="A1" s="42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9" ht="15" customHeight="1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</row>
    <row r="3" spans="1:19" ht="15.75" customHeight="1">
      <c r="A3" s="13" t="s">
        <v>50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9" ht="25.5" customHeight="1">
      <c r="A4" s="5" t="s">
        <v>0</v>
      </c>
      <c r="B4" s="10" t="s">
        <v>60</v>
      </c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9" ht="24" customHeight="1">
      <c r="A5" s="5" t="s">
        <v>1</v>
      </c>
      <c r="B5" s="10"/>
      <c r="C5" s="11"/>
      <c r="D5" s="11"/>
      <c r="E5" s="11"/>
      <c r="F5" s="11"/>
      <c r="G5" s="11"/>
      <c r="H5" s="12"/>
      <c r="I5" s="10" t="s">
        <v>2</v>
      </c>
      <c r="J5" s="11"/>
      <c r="K5" s="11"/>
      <c r="L5" s="12"/>
    </row>
    <row r="6" spans="1:19">
      <c r="A6" s="13" t="s">
        <v>49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9" ht="15" customHeight="1">
      <c r="A7" s="20" t="s">
        <v>33</v>
      </c>
      <c r="B7" s="20"/>
      <c r="C7" s="20"/>
      <c r="D7" s="20" t="s">
        <v>40</v>
      </c>
      <c r="E7" s="20"/>
      <c r="F7" s="20"/>
      <c r="G7" s="20" t="s">
        <v>62</v>
      </c>
      <c r="H7" s="20"/>
      <c r="I7" s="20"/>
      <c r="J7" s="20"/>
      <c r="K7" s="20"/>
      <c r="L7" s="20"/>
    </row>
    <row r="8" spans="1:19">
      <c r="A8" s="14" t="s">
        <v>4</v>
      </c>
      <c r="B8" s="14" t="s">
        <v>34</v>
      </c>
      <c r="C8" s="14"/>
      <c r="D8" s="19">
        <v>25</v>
      </c>
      <c r="E8" s="19"/>
      <c r="F8" s="19"/>
      <c r="G8" s="15">
        <f>$G$12*(D8/100)</f>
        <v>212500</v>
      </c>
      <c r="H8" s="16"/>
      <c r="I8" s="16"/>
      <c r="J8" s="16"/>
      <c r="K8" s="16"/>
      <c r="L8" s="17"/>
    </row>
    <row r="9" spans="1:19">
      <c r="A9" s="14"/>
      <c r="B9" s="14" t="s">
        <v>35</v>
      </c>
      <c r="C9" s="14"/>
      <c r="D9" s="19">
        <v>5</v>
      </c>
      <c r="E9" s="19"/>
      <c r="F9" s="19"/>
      <c r="G9" s="15">
        <f t="shared" ref="G9:G11" si="0">$G$12*(D9/100)</f>
        <v>42500</v>
      </c>
      <c r="H9" s="16"/>
      <c r="I9" s="16"/>
      <c r="J9" s="16"/>
      <c r="K9" s="16"/>
      <c r="L9" s="17"/>
    </row>
    <row r="10" spans="1:19" ht="15" customHeight="1">
      <c r="A10" s="14" t="s">
        <v>5</v>
      </c>
      <c r="B10" s="14"/>
      <c r="C10" s="14"/>
      <c r="D10" s="19">
        <v>25</v>
      </c>
      <c r="E10" s="19"/>
      <c r="F10" s="19"/>
      <c r="G10" s="15">
        <f t="shared" si="0"/>
        <v>212500</v>
      </c>
      <c r="H10" s="16"/>
      <c r="I10" s="16"/>
      <c r="J10" s="16"/>
      <c r="K10" s="16"/>
      <c r="L10" s="17"/>
      <c r="R10" s="50">
        <v>13000000</v>
      </c>
      <c r="S10" s="50">
        <v>35000000</v>
      </c>
    </row>
    <row r="11" spans="1:19" ht="14.1" customHeight="1">
      <c r="A11" s="14" t="s">
        <v>6</v>
      </c>
      <c r="B11" s="14"/>
      <c r="C11" s="14"/>
      <c r="D11" s="19">
        <v>45</v>
      </c>
      <c r="E11" s="19"/>
      <c r="F11" s="19"/>
      <c r="G11" s="15">
        <f t="shared" si="0"/>
        <v>382500</v>
      </c>
      <c r="H11" s="16"/>
      <c r="I11" s="16"/>
      <c r="J11" s="16"/>
      <c r="K11" s="16"/>
      <c r="L11" s="17"/>
      <c r="P11" s="1" t="s">
        <v>76</v>
      </c>
      <c r="R11" s="50">
        <v>26500</v>
      </c>
      <c r="S11" s="50">
        <v>65000</v>
      </c>
    </row>
    <row r="12" spans="1:19">
      <c r="A12" s="18" t="s">
        <v>7</v>
      </c>
      <c r="B12" s="18"/>
      <c r="C12" s="18"/>
      <c r="D12" s="23">
        <f>SUM(D8:F11)</f>
        <v>100</v>
      </c>
      <c r="E12" s="23"/>
      <c r="F12" s="23"/>
      <c r="G12" s="19">
        <v>850000</v>
      </c>
      <c r="H12" s="19"/>
      <c r="I12" s="19"/>
      <c r="J12" s="19"/>
      <c r="K12" s="19"/>
      <c r="L12" s="19"/>
      <c r="R12" s="1">
        <f>R10/R11</f>
        <v>490.56603773584908</v>
      </c>
      <c r="S12" s="1">
        <f>S10/S11</f>
        <v>538.46153846153845</v>
      </c>
    </row>
    <row r="13" spans="1:19">
      <c r="A13" s="13" t="s">
        <v>48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R13" s="1">
        <f>G37/G10</f>
        <v>251.24227999999999</v>
      </c>
      <c r="S13" s="1">
        <f>R13</f>
        <v>251.24227999999999</v>
      </c>
    </row>
    <row r="14" spans="1:19">
      <c r="A14" s="14" t="s">
        <v>37</v>
      </c>
      <c r="B14" s="14" t="s">
        <v>8</v>
      </c>
      <c r="C14" s="14"/>
      <c r="D14" s="10" t="s">
        <v>36</v>
      </c>
      <c r="E14" s="11"/>
      <c r="F14" s="11"/>
      <c r="G14" s="19">
        <v>1500</v>
      </c>
      <c r="H14" s="19"/>
      <c r="I14" s="19"/>
      <c r="J14" s="19"/>
      <c r="K14" s="19"/>
      <c r="L14" s="19"/>
    </row>
    <row r="15" spans="1:19" ht="30">
      <c r="A15" s="18"/>
      <c r="B15" s="18" t="s">
        <v>9</v>
      </c>
      <c r="C15" s="18"/>
      <c r="D15" s="32" t="s">
        <v>10</v>
      </c>
      <c r="E15" s="33"/>
      <c r="F15" s="33"/>
      <c r="G15" s="28">
        <f>G14*EPV!G11</f>
        <v>573750000</v>
      </c>
      <c r="H15" s="28"/>
      <c r="I15" s="28"/>
      <c r="J15" s="28"/>
      <c r="K15" s="28"/>
      <c r="L15" s="28"/>
      <c r="N15" s="1">
        <f>G15*0.08*0.15</f>
        <v>6885000</v>
      </c>
      <c r="R15" s="51" t="s">
        <v>77</v>
      </c>
    </row>
    <row r="16" spans="1:19">
      <c r="A16" s="13" t="s">
        <v>51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9">
      <c r="A17" s="34" t="s">
        <v>38</v>
      </c>
      <c r="B17" s="18" t="s">
        <v>8</v>
      </c>
      <c r="C17" s="18"/>
      <c r="D17" s="10" t="s">
        <v>36</v>
      </c>
      <c r="E17" s="11"/>
      <c r="F17" s="12"/>
      <c r="G17" s="19">
        <v>200</v>
      </c>
      <c r="H17" s="19"/>
      <c r="I17" s="19"/>
      <c r="J17" s="19"/>
      <c r="K17" s="19"/>
      <c r="L17" s="19"/>
    </row>
    <row r="18" spans="1:19">
      <c r="A18" s="32"/>
      <c r="B18" s="18" t="s">
        <v>9</v>
      </c>
      <c r="C18" s="18"/>
      <c r="D18" s="10" t="s">
        <v>10</v>
      </c>
      <c r="E18" s="11"/>
      <c r="F18" s="12"/>
      <c r="G18" s="28">
        <f>G17*EPV!G12</f>
        <v>170000000</v>
      </c>
      <c r="H18" s="28"/>
      <c r="I18" s="28"/>
      <c r="J18" s="28"/>
      <c r="K18" s="28"/>
      <c r="L18" s="28"/>
    </row>
    <row r="19" spans="1:19" ht="15" customHeight="1">
      <c r="A19" s="13" t="s">
        <v>52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9" ht="15" customHeight="1">
      <c r="A20" s="20" t="s">
        <v>33</v>
      </c>
      <c r="B20" s="20"/>
      <c r="C20" s="20"/>
      <c r="D20" s="20" t="s">
        <v>41</v>
      </c>
      <c r="E20" s="20"/>
      <c r="F20" s="20"/>
      <c r="G20" s="20" t="s">
        <v>42</v>
      </c>
      <c r="H20" s="20"/>
      <c r="I20" s="20"/>
      <c r="J20" s="20"/>
      <c r="K20" s="20"/>
      <c r="L20" s="20"/>
    </row>
    <row r="21" spans="1:19">
      <c r="A21" s="35" t="s">
        <v>11</v>
      </c>
      <c r="B21" s="35"/>
      <c r="C21" s="35"/>
      <c r="D21" s="14">
        <v>3</v>
      </c>
      <c r="E21" s="14"/>
      <c r="F21" s="14"/>
      <c r="G21" s="28">
        <f>(D21/100)*G$18</f>
        <v>5100000</v>
      </c>
      <c r="H21" s="28"/>
      <c r="I21" s="28"/>
      <c r="J21" s="28"/>
      <c r="K21" s="28"/>
      <c r="L21" s="28"/>
    </row>
    <row r="22" spans="1:19">
      <c r="A22" s="35" t="s">
        <v>12</v>
      </c>
      <c r="B22" s="35"/>
      <c r="C22" s="35"/>
      <c r="D22" s="14" t="s">
        <v>39</v>
      </c>
      <c r="E22" s="14"/>
      <c r="F22" s="14"/>
      <c r="G22" s="28">
        <f>10000*1.09</f>
        <v>10900</v>
      </c>
      <c r="H22" s="28"/>
      <c r="I22" s="28"/>
      <c r="J22" s="28"/>
      <c r="K22" s="28"/>
      <c r="L22" s="28"/>
    </row>
    <row r="23" spans="1:19">
      <c r="A23" s="35" t="s">
        <v>13</v>
      </c>
      <c r="B23" s="35"/>
      <c r="C23" s="35"/>
      <c r="D23" s="14">
        <v>1</v>
      </c>
      <c r="E23" s="14"/>
      <c r="F23" s="14"/>
      <c r="G23" s="28">
        <f>(D23/100)*G$18</f>
        <v>1700000</v>
      </c>
      <c r="H23" s="28"/>
      <c r="I23" s="28"/>
      <c r="J23" s="28"/>
      <c r="K23" s="28"/>
      <c r="L23" s="28"/>
    </row>
    <row r="24" spans="1:19">
      <c r="A24" s="35" t="s">
        <v>14</v>
      </c>
      <c r="B24" s="35"/>
      <c r="C24" s="35"/>
      <c r="D24" s="14" t="s">
        <v>3</v>
      </c>
      <c r="E24" s="14"/>
      <c r="F24" s="14"/>
      <c r="G24" s="28" t="s">
        <v>3</v>
      </c>
      <c r="H24" s="28"/>
      <c r="I24" s="28"/>
      <c r="J24" s="28"/>
      <c r="K24" s="28"/>
      <c r="L24" s="28"/>
    </row>
    <row r="25" spans="1:19">
      <c r="A25" s="10" t="s">
        <v>9</v>
      </c>
      <c r="B25" s="11"/>
      <c r="C25" s="11"/>
      <c r="D25" s="11"/>
      <c r="E25" s="11"/>
      <c r="F25" s="12"/>
      <c r="G25" s="28">
        <f>SUM(G21:L24)</f>
        <v>6810900</v>
      </c>
      <c r="H25" s="28"/>
      <c r="I25" s="28"/>
      <c r="J25" s="28"/>
      <c r="K25" s="28"/>
      <c r="L25" s="28"/>
    </row>
    <row r="26" spans="1:19">
      <c r="A26" s="13" t="s">
        <v>53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9" ht="22.5" customHeight="1">
      <c r="A27" s="6" t="s">
        <v>33</v>
      </c>
      <c r="B27" s="20" t="s">
        <v>62</v>
      </c>
      <c r="C27" s="20"/>
      <c r="D27" s="20" t="s">
        <v>61</v>
      </c>
      <c r="E27" s="20"/>
      <c r="F27" s="20"/>
      <c r="G27" s="20" t="s">
        <v>43</v>
      </c>
      <c r="H27" s="20"/>
      <c r="I27" s="20"/>
      <c r="J27" s="20"/>
      <c r="K27" s="20"/>
      <c r="L27" s="20"/>
    </row>
    <row r="28" spans="1:19">
      <c r="A28" s="8" t="s">
        <v>63</v>
      </c>
      <c r="B28" s="28">
        <f>G12</f>
        <v>850000</v>
      </c>
      <c r="C28" s="28"/>
      <c r="D28" s="29">
        <v>1.4279000000000002</v>
      </c>
      <c r="E28" s="30"/>
      <c r="F28" s="31"/>
      <c r="G28" s="15">
        <f>D28*B28</f>
        <v>1213715.0000000002</v>
      </c>
      <c r="H28" s="16"/>
      <c r="I28" s="16"/>
      <c r="J28" s="16"/>
      <c r="K28" s="16"/>
      <c r="L28" s="17"/>
      <c r="P28" s="1">
        <f>11000+9700+14600+11700</f>
        <v>47000</v>
      </c>
    </row>
    <row r="29" spans="1:19">
      <c r="A29" s="8" t="s">
        <v>64</v>
      </c>
      <c r="B29" s="28">
        <f>G11</f>
        <v>382500</v>
      </c>
      <c r="C29" s="28"/>
      <c r="D29" s="29">
        <v>0.43230000000000002</v>
      </c>
      <c r="E29" s="30"/>
      <c r="F29" s="31"/>
      <c r="G29" s="15">
        <f t="shared" ref="G29:G36" si="1">D29*B29</f>
        <v>165354.75</v>
      </c>
      <c r="H29" s="16"/>
      <c r="I29" s="16"/>
      <c r="J29" s="16"/>
      <c r="K29" s="16"/>
      <c r="L29" s="17"/>
      <c r="P29" s="1">
        <v>300834.48</v>
      </c>
    </row>
    <row r="30" spans="1:19">
      <c r="A30" s="8" t="s">
        <v>65</v>
      </c>
      <c r="B30" s="15">
        <f>G11</f>
        <v>382500</v>
      </c>
      <c r="C30" s="17"/>
      <c r="D30" s="29">
        <v>0.30130000000000001</v>
      </c>
      <c r="E30" s="30"/>
      <c r="F30" s="31"/>
      <c r="G30" s="15">
        <f t="shared" si="1"/>
        <v>115247.25</v>
      </c>
      <c r="H30" s="16"/>
      <c r="I30" s="16"/>
      <c r="J30" s="16"/>
      <c r="K30" s="16"/>
      <c r="L30" s="17"/>
    </row>
    <row r="31" spans="1:19">
      <c r="A31" s="8" t="s">
        <v>66</v>
      </c>
      <c r="B31" s="28">
        <f>G10</f>
        <v>212500</v>
      </c>
      <c r="C31" s="28"/>
      <c r="D31" s="29">
        <v>4.5719000000000003</v>
      </c>
      <c r="E31" s="30"/>
      <c r="F31" s="31"/>
      <c r="G31" s="15">
        <f t="shared" si="1"/>
        <v>971528.75000000012</v>
      </c>
      <c r="H31" s="16"/>
      <c r="I31" s="16"/>
      <c r="J31" s="16"/>
      <c r="K31" s="16"/>
      <c r="L31" s="17"/>
      <c r="P31" s="1">
        <f>P28/P29</f>
        <v>0.15623209148100312</v>
      </c>
      <c r="Q31" s="1">
        <f>D28-P31</f>
        <v>1.271667908518997</v>
      </c>
      <c r="R31" s="1">
        <f>96000/P29</f>
        <v>0.31911235706758084</v>
      </c>
      <c r="S31" s="1">
        <f>R31*G12</f>
        <v>271245.5035074437</v>
      </c>
    </row>
    <row r="32" spans="1:19">
      <c r="A32" s="8" t="s">
        <v>67</v>
      </c>
      <c r="B32" s="28">
        <f>G10</f>
        <v>212500</v>
      </c>
      <c r="C32" s="28"/>
      <c r="D32" s="29">
        <v>28.558000000000003</v>
      </c>
      <c r="E32" s="30"/>
      <c r="F32" s="31"/>
      <c r="G32" s="15">
        <f t="shared" si="1"/>
        <v>6068575.0000000009</v>
      </c>
      <c r="H32" s="16"/>
      <c r="I32" s="16"/>
      <c r="J32" s="16"/>
      <c r="K32" s="16"/>
      <c r="L32" s="17"/>
    </row>
    <row r="33" spans="1:17">
      <c r="A33" s="8" t="s">
        <v>68</v>
      </c>
      <c r="B33" s="28">
        <f t="shared" ref="B33" si="2">G$10</f>
        <v>212500</v>
      </c>
      <c r="C33" s="28"/>
      <c r="D33" s="29">
        <v>25.702200000000001</v>
      </c>
      <c r="E33" s="30"/>
      <c r="F33" s="31"/>
      <c r="G33" s="15">
        <f t="shared" si="1"/>
        <v>5461717.5</v>
      </c>
      <c r="H33" s="16"/>
      <c r="I33" s="16"/>
      <c r="J33" s="16"/>
      <c r="K33" s="16"/>
      <c r="L33" s="17"/>
    </row>
    <row r="34" spans="1:17">
      <c r="A34" s="8" t="s">
        <v>69</v>
      </c>
      <c r="B34" s="28">
        <f t="shared" ref="B34:B36" si="3">G$10</f>
        <v>212500</v>
      </c>
      <c r="C34" s="28"/>
      <c r="D34" s="29">
        <v>22.846400000000003</v>
      </c>
      <c r="E34" s="30"/>
      <c r="F34" s="31"/>
      <c r="G34" s="15">
        <f t="shared" si="1"/>
        <v>4854860.0000000009</v>
      </c>
      <c r="H34" s="16"/>
      <c r="I34" s="16"/>
      <c r="J34" s="16"/>
      <c r="K34" s="16"/>
      <c r="L34" s="17"/>
    </row>
    <row r="35" spans="1:17">
      <c r="A35" s="8" t="s">
        <v>70</v>
      </c>
      <c r="B35" s="28">
        <f t="shared" si="3"/>
        <v>212500</v>
      </c>
      <c r="C35" s="28"/>
      <c r="D35" s="29">
        <v>19.741700000000002</v>
      </c>
      <c r="E35" s="30"/>
      <c r="F35" s="31"/>
      <c r="G35" s="15">
        <f t="shared" si="1"/>
        <v>4195111.25</v>
      </c>
      <c r="H35" s="16"/>
      <c r="I35" s="16"/>
      <c r="J35" s="16"/>
      <c r="K35" s="16"/>
      <c r="L35" s="17"/>
    </row>
    <row r="36" spans="1:17">
      <c r="A36" s="8" t="s">
        <v>71</v>
      </c>
      <c r="B36" s="28">
        <f>G$10</f>
        <v>212500</v>
      </c>
      <c r="C36" s="28"/>
      <c r="D36" s="29">
        <v>142.79</v>
      </c>
      <c r="E36" s="30"/>
      <c r="F36" s="31"/>
      <c r="G36" s="15">
        <f>D36*B36</f>
        <v>30342875</v>
      </c>
      <c r="H36" s="16"/>
      <c r="I36" s="16"/>
      <c r="J36" s="16"/>
      <c r="K36" s="16"/>
      <c r="L36" s="17"/>
    </row>
    <row r="37" spans="1:17">
      <c r="A37" s="10" t="s">
        <v>9</v>
      </c>
      <c r="B37" s="11"/>
      <c r="C37" s="11"/>
      <c r="D37" s="11"/>
      <c r="E37" s="11"/>
      <c r="F37" s="12"/>
      <c r="G37" s="15">
        <f>SUM(G28:L36)</f>
        <v>53388984.5</v>
      </c>
      <c r="H37" s="16"/>
      <c r="I37" s="16"/>
      <c r="J37" s="16"/>
      <c r="K37" s="16"/>
      <c r="L37" s="17"/>
      <c r="M37" s="1">
        <f>G37/G10</f>
        <v>251.24227999999999</v>
      </c>
    </row>
    <row r="38" spans="1:17">
      <c r="A38" s="13" t="s">
        <v>73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7" ht="15" customHeight="1">
      <c r="A39" s="36" t="s">
        <v>33</v>
      </c>
      <c r="B39" s="36"/>
      <c r="C39" s="36"/>
      <c r="D39" s="20" t="s">
        <v>44</v>
      </c>
      <c r="E39" s="20"/>
      <c r="F39" s="20"/>
      <c r="G39" s="20" t="s">
        <v>43</v>
      </c>
      <c r="H39" s="20"/>
      <c r="I39" s="20"/>
      <c r="J39" s="20"/>
      <c r="K39" s="20"/>
      <c r="L39" s="20"/>
    </row>
    <row r="40" spans="1:17" ht="15" customHeight="1">
      <c r="A40" s="38" t="s">
        <v>15</v>
      </c>
      <c r="B40" s="39"/>
      <c r="C40" s="40"/>
      <c r="D40" s="29">
        <v>3.65</v>
      </c>
      <c r="E40" s="30"/>
      <c r="F40" s="31"/>
      <c r="G40" s="28">
        <f>(D40/100)*G$15</f>
        <v>20941875</v>
      </c>
      <c r="H40" s="28"/>
      <c r="I40" s="28"/>
      <c r="J40" s="28"/>
      <c r="K40" s="28"/>
      <c r="L40" s="28"/>
    </row>
    <row r="41" spans="1:17" ht="15" customHeight="1">
      <c r="A41" s="41" t="s">
        <v>16</v>
      </c>
      <c r="B41" s="28" t="s">
        <v>17</v>
      </c>
      <c r="C41" s="28"/>
      <c r="D41" s="29">
        <v>8</v>
      </c>
      <c r="E41" s="30"/>
      <c r="F41" s="31"/>
      <c r="G41" s="28">
        <f>((D41/100)*G$15)*(D42/100)</f>
        <v>6885000</v>
      </c>
      <c r="H41" s="28"/>
      <c r="I41" s="28"/>
      <c r="J41" s="28"/>
      <c r="K41" s="28"/>
      <c r="L41" s="28"/>
    </row>
    <row r="42" spans="1:17" ht="15" customHeight="1">
      <c r="A42" s="41"/>
      <c r="B42" s="28" t="s">
        <v>18</v>
      </c>
      <c r="C42" s="28"/>
      <c r="D42" s="29">
        <v>15</v>
      </c>
      <c r="E42" s="30"/>
      <c r="F42" s="31"/>
      <c r="G42" s="28"/>
      <c r="H42" s="28"/>
      <c r="I42" s="28"/>
      <c r="J42" s="28"/>
      <c r="K42" s="28"/>
      <c r="L42" s="28"/>
    </row>
    <row r="43" spans="1:17" ht="15" customHeight="1">
      <c r="A43" s="41"/>
      <c r="B43" s="28" t="s">
        <v>19</v>
      </c>
      <c r="C43" s="28"/>
      <c r="D43" s="29">
        <v>10</v>
      </c>
      <c r="E43" s="30"/>
      <c r="F43" s="31"/>
      <c r="G43" s="28">
        <v>0</v>
      </c>
      <c r="H43" s="28"/>
      <c r="I43" s="28"/>
      <c r="J43" s="28"/>
      <c r="K43" s="28"/>
      <c r="L43" s="28"/>
      <c r="Q43" s="1">
        <f>40000/350</f>
        <v>114.28571428571429</v>
      </c>
    </row>
    <row r="44" spans="1:17" ht="15" customHeight="1">
      <c r="A44" s="41" t="s">
        <v>20</v>
      </c>
      <c r="B44" s="28" t="s">
        <v>17</v>
      </c>
      <c r="C44" s="28"/>
      <c r="D44" s="29">
        <v>12</v>
      </c>
      <c r="E44" s="30"/>
      <c r="F44" s="31"/>
      <c r="G44" s="28">
        <f>((D44/100)*G$15)*(D45/100)</f>
        <v>6196500</v>
      </c>
      <c r="H44" s="28"/>
      <c r="I44" s="28"/>
      <c r="J44" s="28"/>
      <c r="K44" s="28"/>
      <c r="L44" s="28"/>
    </row>
    <row r="45" spans="1:17" ht="15" customHeight="1">
      <c r="A45" s="41"/>
      <c r="B45" s="28" t="s">
        <v>21</v>
      </c>
      <c r="C45" s="28"/>
      <c r="D45" s="29">
        <v>9</v>
      </c>
      <c r="E45" s="30"/>
      <c r="F45" s="31"/>
      <c r="G45" s="28"/>
      <c r="H45" s="28"/>
      <c r="I45" s="28"/>
      <c r="J45" s="28"/>
      <c r="K45" s="28"/>
      <c r="L45" s="28"/>
    </row>
    <row r="46" spans="1:17" ht="15" customHeight="1">
      <c r="A46" s="41" t="s">
        <v>22</v>
      </c>
      <c r="B46" s="28" t="s">
        <v>17</v>
      </c>
      <c r="C46" s="28"/>
      <c r="D46" s="29">
        <v>1</v>
      </c>
      <c r="E46" s="30"/>
      <c r="F46" s="31"/>
      <c r="G46" s="28">
        <f>((D46/100)*G$15)*(D47/100)</f>
        <v>459000</v>
      </c>
      <c r="H46" s="28"/>
      <c r="I46" s="28"/>
      <c r="J46" s="28"/>
      <c r="K46" s="28"/>
      <c r="L46" s="28"/>
    </row>
    <row r="47" spans="1:17">
      <c r="A47" s="41"/>
      <c r="B47" s="28" t="s">
        <v>21</v>
      </c>
      <c r="C47" s="28"/>
      <c r="D47" s="29">
        <v>8</v>
      </c>
      <c r="E47" s="30"/>
      <c r="F47" s="31"/>
      <c r="G47" s="28"/>
      <c r="H47" s="28"/>
      <c r="I47" s="28"/>
      <c r="J47" s="28"/>
      <c r="K47" s="28"/>
      <c r="L47" s="28"/>
    </row>
    <row r="48" spans="1:17">
      <c r="A48" s="14" t="s">
        <v>9</v>
      </c>
      <c r="B48" s="14"/>
      <c r="C48" s="14"/>
      <c r="D48" s="14"/>
      <c r="E48" s="14"/>
      <c r="F48" s="14"/>
      <c r="G48" s="28">
        <f>SUM(G40:L47)</f>
        <v>34482375</v>
      </c>
      <c r="H48" s="28"/>
      <c r="I48" s="28"/>
      <c r="J48" s="28"/>
      <c r="K48" s="28"/>
      <c r="L48" s="28"/>
    </row>
    <row r="49" spans="1:14">
      <c r="A49" s="25" t="s">
        <v>54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4">
      <c r="A50" s="9" t="s">
        <v>33</v>
      </c>
      <c r="B50" s="26" t="s">
        <v>45</v>
      </c>
      <c r="C50" s="26"/>
      <c r="D50" s="37" t="s">
        <v>46</v>
      </c>
      <c r="E50" s="37"/>
      <c r="F50" s="37"/>
      <c r="G50" s="37" t="s">
        <v>43</v>
      </c>
      <c r="H50" s="37"/>
      <c r="I50" s="37"/>
      <c r="J50" s="37"/>
      <c r="K50" s="37"/>
      <c r="L50" s="37"/>
    </row>
    <row r="51" spans="1:14" ht="15" customHeight="1">
      <c r="A51" s="7" t="s">
        <v>14</v>
      </c>
      <c r="B51" s="28" t="s">
        <v>23</v>
      </c>
      <c r="C51" s="28"/>
      <c r="D51" s="29">
        <v>6</v>
      </c>
      <c r="E51" s="30"/>
      <c r="F51" s="31"/>
      <c r="G51" s="28">
        <f>(D51/100)*G$15</f>
        <v>34425000</v>
      </c>
      <c r="H51" s="28"/>
      <c r="I51" s="28"/>
      <c r="J51" s="28"/>
      <c r="K51" s="28"/>
      <c r="L51" s="28"/>
    </row>
    <row r="52" spans="1:14" ht="15" customHeight="1">
      <c r="A52" s="7" t="s">
        <v>24</v>
      </c>
      <c r="B52" s="28" t="s">
        <v>23</v>
      </c>
      <c r="C52" s="28"/>
      <c r="D52" s="29">
        <v>3.5</v>
      </c>
      <c r="E52" s="30"/>
      <c r="F52" s="31"/>
      <c r="G52" s="28">
        <f>(D52/100)*G$15</f>
        <v>20081250.000000004</v>
      </c>
      <c r="H52" s="28"/>
      <c r="I52" s="28"/>
      <c r="J52" s="28"/>
      <c r="K52" s="28"/>
      <c r="L52" s="28"/>
    </row>
    <row r="53" spans="1:14" ht="15" customHeight="1">
      <c r="A53" s="7" t="s">
        <v>25</v>
      </c>
      <c r="B53" s="28" t="s">
        <v>47</v>
      </c>
      <c r="C53" s="28"/>
      <c r="D53" s="29">
        <v>7</v>
      </c>
      <c r="E53" s="30"/>
      <c r="F53" s="31"/>
      <c r="G53" s="28">
        <f>(D53/100)*G37</f>
        <v>3737228.9150000005</v>
      </c>
      <c r="H53" s="28"/>
      <c r="I53" s="28"/>
      <c r="J53" s="28"/>
      <c r="K53" s="28"/>
      <c r="L53" s="28"/>
    </row>
    <row r="54" spans="1:14" ht="15" customHeight="1">
      <c r="A54" s="7" t="s">
        <v>26</v>
      </c>
      <c r="B54" s="28" t="s">
        <v>23</v>
      </c>
      <c r="C54" s="28"/>
      <c r="D54" s="29">
        <v>0.5</v>
      </c>
      <c r="E54" s="30"/>
      <c r="F54" s="31"/>
      <c r="G54" s="28">
        <f>(D54/100)*G$15</f>
        <v>2868750</v>
      </c>
      <c r="H54" s="28"/>
      <c r="I54" s="28"/>
      <c r="J54" s="28"/>
      <c r="K54" s="28"/>
      <c r="L54" s="28"/>
    </row>
    <row r="55" spans="1:14">
      <c r="A55" s="7" t="s">
        <v>27</v>
      </c>
      <c r="B55" s="28" t="s">
        <v>23</v>
      </c>
      <c r="C55" s="28"/>
      <c r="D55" s="29">
        <v>0.1</v>
      </c>
      <c r="E55" s="30"/>
      <c r="F55" s="31"/>
      <c r="G55" s="28">
        <f>(D55/100)*G$15</f>
        <v>573750</v>
      </c>
      <c r="H55" s="28"/>
      <c r="I55" s="28"/>
      <c r="J55" s="28"/>
      <c r="K55" s="28"/>
      <c r="L55" s="28"/>
    </row>
    <row r="56" spans="1:14">
      <c r="A56" s="14" t="s">
        <v>9</v>
      </c>
      <c r="B56" s="14"/>
      <c r="C56" s="14"/>
      <c r="D56" s="18"/>
      <c r="E56" s="18"/>
      <c r="F56" s="18"/>
      <c r="G56" s="49">
        <f>SUM(G51:L55)</f>
        <v>61685978.914999999</v>
      </c>
      <c r="H56" s="49"/>
      <c r="I56" s="49"/>
      <c r="J56" s="49"/>
      <c r="K56" s="49"/>
      <c r="L56" s="49"/>
    </row>
    <row r="57" spans="1:14">
      <c r="A57" s="25" t="s">
        <v>56</v>
      </c>
      <c r="B57" s="25"/>
      <c r="C57" s="25"/>
      <c r="D57" s="26" t="s">
        <v>55</v>
      </c>
      <c r="E57" s="26"/>
      <c r="F57" s="26"/>
      <c r="G57" s="26"/>
      <c r="H57" s="26"/>
      <c r="I57" s="26"/>
      <c r="J57" s="26"/>
      <c r="K57" s="26"/>
      <c r="L57" s="26"/>
    </row>
    <row r="58" spans="1:14">
      <c r="A58" s="7" t="s">
        <v>58</v>
      </c>
      <c r="B58" s="27">
        <f>G37</f>
        <v>53388984.5</v>
      </c>
      <c r="C58" s="27"/>
      <c r="D58" s="28" t="s">
        <v>23</v>
      </c>
      <c r="E58" s="28"/>
      <c r="F58" s="28"/>
      <c r="G58" s="27">
        <f>G15</f>
        <v>573750000</v>
      </c>
      <c r="H58" s="27"/>
      <c r="I58" s="27"/>
      <c r="J58" s="27"/>
      <c r="K58" s="27"/>
      <c r="L58" s="27"/>
      <c r="N58" s="1">
        <f>B62/G12</f>
        <v>375.94980990000005</v>
      </c>
    </row>
    <row r="59" spans="1:14">
      <c r="A59" s="7" t="s">
        <v>28</v>
      </c>
      <c r="B59" s="27">
        <f>G18</f>
        <v>170000000</v>
      </c>
      <c r="C59" s="27"/>
      <c r="D59" s="28" t="s">
        <v>30</v>
      </c>
      <c r="E59" s="28"/>
      <c r="F59" s="28"/>
      <c r="G59" s="27">
        <f>B62</f>
        <v>319557338.41500002</v>
      </c>
      <c r="H59" s="27"/>
      <c r="I59" s="27"/>
      <c r="J59" s="27"/>
      <c r="K59" s="27"/>
      <c r="L59" s="27"/>
    </row>
    <row r="60" spans="1:14">
      <c r="A60" s="7" t="s">
        <v>74</v>
      </c>
      <c r="B60" s="27">
        <f>G48</f>
        <v>34482375</v>
      </c>
      <c r="C60" s="27"/>
      <c r="D60" s="28" t="s">
        <v>31</v>
      </c>
      <c r="E60" s="28"/>
      <c r="F60" s="28"/>
      <c r="G60" s="27">
        <f>G58-G59</f>
        <v>254192661.58499998</v>
      </c>
      <c r="H60" s="27"/>
      <c r="I60" s="27"/>
      <c r="J60" s="27"/>
      <c r="K60" s="27"/>
      <c r="L60" s="27"/>
    </row>
    <row r="61" spans="1:14">
      <c r="A61" s="7" t="s">
        <v>29</v>
      </c>
      <c r="B61" s="27">
        <f>G56</f>
        <v>61685978.914999999</v>
      </c>
      <c r="C61" s="27"/>
      <c r="D61" s="28" t="s">
        <v>32</v>
      </c>
      <c r="E61" s="28"/>
      <c r="F61" s="28"/>
      <c r="G61" s="48">
        <f>G60/G58</f>
        <v>0.44303731866666662</v>
      </c>
      <c r="H61" s="48"/>
      <c r="I61" s="48"/>
      <c r="J61" s="48"/>
      <c r="K61" s="48"/>
      <c r="L61" s="48"/>
    </row>
    <row r="62" spans="1:14">
      <c r="A62" s="7" t="s">
        <v>9</v>
      </c>
      <c r="B62" s="27">
        <f>SUM(B58:C61)</f>
        <v>319557338.41500002</v>
      </c>
      <c r="C62" s="27"/>
      <c r="D62" s="28"/>
      <c r="E62" s="28"/>
      <c r="F62" s="28"/>
      <c r="G62" s="48"/>
      <c r="H62" s="48"/>
      <c r="I62" s="48"/>
      <c r="J62" s="48"/>
      <c r="K62" s="48"/>
      <c r="L62" s="48"/>
    </row>
    <row r="63" spans="1:14">
      <c r="A63" s="24" t="s">
        <v>57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4">
      <c r="A64" s="21" t="s">
        <v>72</v>
      </c>
      <c r="B64" s="21"/>
      <c r="C64" s="21"/>
      <c r="D64" s="21"/>
      <c r="E64" s="21"/>
      <c r="F64" s="21"/>
      <c r="G64" s="22" t="s">
        <v>75</v>
      </c>
      <c r="H64" s="22"/>
      <c r="I64" s="22"/>
      <c r="J64" s="22"/>
      <c r="K64" s="22"/>
      <c r="L64" s="22"/>
    </row>
    <row r="65" spans="1:12" ht="16.5" customHeight="1">
      <c r="A65" s="21"/>
      <c r="B65" s="21"/>
      <c r="C65" s="21"/>
      <c r="D65" s="21"/>
      <c r="E65" s="21"/>
      <c r="F65" s="21"/>
      <c r="G65" s="22"/>
      <c r="H65" s="22"/>
      <c r="I65" s="22"/>
      <c r="J65" s="22"/>
      <c r="K65" s="22"/>
      <c r="L65" s="22"/>
    </row>
    <row r="66" spans="1:12">
      <c r="A66" s="2"/>
      <c r="B66" s="3"/>
      <c r="C66" s="3"/>
      <c r="D66" s="3"/>
      <c r="E66" s="3"/>
      <c r="F66" s="3"/>
      <c r="G66" s="3"/>
      <c r="H66" s="3"/>
      <c r="I66" s="3"/>
    </row>
    <row r="67" spans="1:12">
      <c r="A67" s="2"/>
      <c r="B67" s="3"/>
      <c r="C67" s="3"/>
      <c r="D67" s="3"/>
      <c r="E67" s="3"/>
      <c r="F67" s="3"/>
      <c r="G67" s="3"/>
      <c r="H67" s="3"/>
      <c r="I67" s="3"/>
    </row>
    <row r="68" spans="1:12">
      <c r="A68" s="2"/>
      <c r="B68" s="3"/>
      <c r="C68" s="3"/>
      <c r="D68" s="3"/>
      <c r="E68" s="3"/>
      <c r="F68" s="3"/>
      <c r="G68" s="3"/>
      <c r="H68" s="3"/>
      <c r="I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</row>
    <row r="72" spans="1:12">
      <c r="A72" s="4"/>
      <c r="B72" s="4"/>
      <c r="C72" s="4"/>
      <c r="D72" s="4"/>
      <c r="E72" s="4"/>
      <c r="F72" s="4"/>
      <c r="G72" s="4"/>
      <c r="H72" s="4"/>
      <c r="I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  <row r="93" spans="1:9">
      <c r="A93" s="4"/>
      <c r="B93" s="4"/>
      <c r="C93" s="4"/>
      <c r="D93" s="4"/>
      <c r="E93" s="4"/>
      <c r="F93" s="4"/>
      <c r="G93" s="4"/>
      <c r="H93" s="4"/>
      <c r="I93" s="4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>
      <c r="A95" s="4"/>
      <c r="B95" s="4"/>
      <c r="C95" s="4"/>
      <c r="D95" s="4"/>
      <c r="E95" s="4"/>
      <c r="F95" s="4"/>
      <c r="G95" s="4"/>
      <c r="H95" s="4"/>
      <c r="I95" s="4"/>
    </row>
    <row r="96" spans="1:9">
      <c r="A96" s="4"/>
      <c r="B96" s="4"/>
      <c r="C96" s="4"/>
      <c r="D96" s="4"/>
      <c r="E96" s="4"/>
      <c r="F96" s="4"/>
      <c r="G96" s="4"/>
      <c r="H96" s="4"/>
      <c r="I96" s="4"/>
    </row>
    <row r="97" spans="1:9">
      <c r="A97" s="4"/>
      <c r="B97" s="4"/>
      <c r="C97" s="4"/>
      <c r="D97" s="4"/>
      <c r="E97" s="4"/>
      <c r="F97" s="4"/>
      <c r="G97" s="4"/>
      <c r="H97" s="4"/>
      <c r="I97" s="4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>
      <c r="A99" s="4"/>
      <c r="B99" s="4"/>
      <c r="C99" s="4"/>
      <c r="D99" s="4"/>
      <c r="E99" s="4"/>
      <c r="F99" s="4"/>
      <c r="G99" s="4"/>
      <c r="H99" s="4"/>
      <c r="I99" s="4"/>
    </row>
    <row r="100" spans="1:9">
      <c r="A100" s="4"/>
      <c r="B100" s="4"/>
      <c r="C100" s="4"/>
      <c r="D100" s="4"/>
      <c r="E100" s="4"/>
      <c r="F100" s="4"/>
      <c r="G100" s="4"/>
      <c r="H100" s="4"/>
      <c r="I100" s="4"/>
    </row>
    <row r="101" spans="1:9">
      <c r="A101" s="4"/>
      <c r="B101" s="4"/>
      <c r="C101" s="4"/>
      <c r="D101" s="4"/>
      <c r="E101" s="4"/>
      <c r="F101" s="4"/>
      <c r="G101" s="4"/>
      <c r="H101" s="4"/>
      <c r="I101" s="4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>
      <c r="A103" s="4"/>
      <c r="B103" s="4"/>
      <c r="C103" s="4"/>
      <c r="D103" s="4"/>
      <c r="E103" s="4"/>
      <c r="F103" s="4"/>
      <c r="G103" s="4"/>
      <c r="H103" s="4"/>
      <c r="I103" s="4"/>
    </row>
    <row r="104" spans="1:9">
      <c r="A104" s="4"/>
      <c r="B104" s="4"/>
      <c r="C104" s="4"/>
      <c r="D104" s="4"/>
      <c r="E104" s="4"/>
      <c r="F104" s="4"/>
      <c r="G104" s="4"/>
      <c r="H104" s="4"/>
      <c r="I104" s="4"/>
    </row>
    <row r="105" spans="1:9">
      <c r="A105" s="4"/>
      <c r="B105" s="4"/>
      <c r="C105" s="4"/>
      <c r="D105" s="4"/>
      <c r="E105" s="4"/>
      <c r="F105" s="4"/>
      <c r="G105" s="4"/>
      <c r="H105" s="4"/>
      <c r="I105" s="4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>
      <c r="A107" s="4"/>
      <c r="B107" s="4"/>
      <c r="C107" s="4"/>
      <c r="D107" s="4"/>
      <c r="E107" s="4"/>
      <c r="F107" s="4"/>
      <c r="G107" s="4"/>
      <c r="H107" s="4"/>
      <c r="I107" s="4"/>
    </row>
    <row r="108" spans="1:9">
      <c r="A108" s="4"/>
      <c r="B108" s="4"/>
      <c r="C108" s="4"/>
      <c r="D108" s="4"/>
      <c r="E108" s="4"/>
      <c r="F108" s="4"/>
      <c r="G108" s="4"/>
      <c r="H108" s="4"/>
      <c r="I108" s="4"/>
    </row>
    <row r="109" spans="1:9">
      <c r="A109" s="4"/>
      <c r="B109" s="4"/>
      <c r="C109" s="4"/>
      <c r="D109" s="4"/>
      <c r="E109" s="4"/>
      <c r="F109" s="4"/>
      <c r="G109" s="4"/>
      <c r="H109" s="4"/>
      <c r="I109" s="4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>
      <c r="A111" s="4"/>
      <c r="B111" s="4"/>
      <c r="C111" s="4"/>
      <c r="D111" s="4"/>
      <c r="E111" s="4"/>
      <c r="F111" s="4"/>
      <c r="G111" s="4"/>
      <c r="H111" s="4"/>
      <c r="I111" s="4"/>
    </row>
    <row r="112" spans="1:9">
      <c r="A112" s="4"/>
      <c r="B112" s="4"/>
      <c r="C112" s="4"/>
      <c r="D112" s="4"/>
      <c r="E112" s="4"/>
      <c r="F112" s="4"/>
      <c r="G112" s="4"/>
      <c r="H112" s="4"/>
      <c r="I112" s="4"/>
    </row>
    <row r="113" spans="1:9">
      <c r="A113" s="4"/>
      <c r="B113" s="4"/>
      <c r="C113" s="4"/>
      <c r="D113" s="4"/>
      <c r="E113" s="4"/>
      <c r="F113" s="4"/>
      <c r="G113" s="4"/>
      <c r="H113" s="4"/>
      <c r="I113" s="4"/>
    </row>
    <row r="114" spans="1:9">
      <c r="A114" s="4"/>
      <c r="B114" s="4"/>
      <c r="C114" s="4"/>
      <c r="D114" s="4"/>
      <c r="E114" s="4"/>
      <c r="F114" s="4"/>
      <c r="G114" s="4"/>
      <c r="H114" s="4"/>
      <c r="I114" s="4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>
      <c r="A116" s="4"/>
      <c r="B116" s="4"/>
      <c r="C116" s="4"/>
      <c r="D116" s="4"/>
      <c r="E116" s="4"/>
      <c r="F116" s="4"/>
      <c r="G116" s="4"/>
      <c r="H116" s="4"/>
      <c r="I116" s="4"/>
    </row>
    <row r="117" spans="1:9">
      <c r="A117" s="4"/>
      <c r="B117" s="4"/>
      <c r="C117" s="4"/>
      <c r="D117" s="4"/>
      <c r="E117" s="4"/>
      <c r="F117" s="4"/>
      <c r="G117" s="4"/>
      <c r="H117" s="4"/>
      <c r="I117" s="4"/>
    </row>
    <row r="118" spans="1:9">
      <c r="A118" s="4"/>
      <c r="B118" s="4"/>
      <c r="C118" s="4"/>
      <c r="D118" s="4"/>
      <c r="E118" s="4"/>
      <c r="F118" s="4"/>
      <c r="G118" s="4"/>
      <c r="H118" s="4"/>
      <c r="I118" s="4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>
      <c r="A120" s="4"/>
      <c r="B120" s="4"/>
      <c r="C120" s="4"/>
      <c r="D120" s="4"/>
      <c r="E120" s="4"/>
      <c r="F120" s="4"/>
      <c r="G120" s="4"/>
      <c r="H120" s="4"/>
      <c r="I120" s="4"/>
    </row>
    <row r="121" spans="1:9">
      <c r="A121" s="4"/>
      <c r="B121" s="4"/>
      <c r="C121" s="4"/>
      <c r="D121" s="4"/>
      <c r="E121" s="4"/>
      <c r="F121" s="4"/>
      <c r="G121" s="4"/>
      <c r="H121" s="4"/>
      <c r="I121" s="4"/>
    </row>
    <row r="122" spans="1:9">
      <c r="A122" s="4"/>
      <c r="B122" s="4"/>
      <c r="C122" s="4"/>
      <c r="D122" s="4"/>
      <c r="E122" s="4"/>
      <c r="F122" s="4"/>
      <c r="G122" s="4"/>
      <c r="H122" s="4"/>
      <c r="I122" s="4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>
      <c r="A124" s="4"/>
      <c r="B124" s="4"/>
      <c r="C124" s="4"/>
      <c r="D124" s="4"/>
      <c r="E124" s="4"/>
      <c r="F124" s="4"/>
      <c r="G124" s="4"/>
      <c r="H124" s="4"/>
      <c r="I124" s="4"/>
    </row>
    <row r="125" spans="1:9">
      <c r="A125" s="4"/>
      <c r="B125" s="4"/>
      <c r="C125" s="4"/>
      <c r="D125" s="4"/>
      <c r="E125" s="4"/>
      <c r="F125" s="4"/>
      <c r="G125" s="4"/>
      <c r="H125" s="4"/>
      <c r="I125" s="4"/>
    </row>
    <row r="126" spans="1:9">
      <c r="A126" s="4"/>
      <c r="B126" s="4"/>
      <c r="C126" s="4"/>
      <c r="D126" s="4"/>
      <c r="E126" s="4"/>
      <c r="F126" s="4"/>
      <c r="G126" s="4"/>
      <c r="H126" s="4"/>
      <c r="I126" s="4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>
      <c r="A128" s="4"/>
      <c r="B128" s="4"/>
      <c r="C128" s="4"/>
      <c r="D128" s="4"/>
      <c r="E128" s="4"/>
      <c r="F128" s="4"/>
      <c r="G128" s="4"/>
      <c r="H128" s="4"/>
      <c r="I128" s="4"/>
    </row>
    <row r="129" spans="1:9">
      <c r="A129" s="4"/>
      <c r="B129" s="4"/>
      <c r="C129" s="4"/>
      <c r="D129" s="4"/>
      <c r="E129" s="4"/>
      <c r="F129" s="4"/>
      <c r="G129" s="4"/>
      <c r="H129" s="4"/>
      <c r="I129" s="4"/>
    </row>
    <row r="130" spans="1:9">
      <c r="A130" s="4"/>
      <c r="B130" s="4"/>
      <c r="C130" s="4"/>
      <c r="D130" s="4"/>
      <c r="E130" s="4"/>
      <c r="F130" s="4"/>
      <c r="G130" s="4"/>
      <c r="H130" s="4"/>
      <c r="I130" s="4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>
      <c r="A132" s="4"/>
      <c r="B132" s="4"/>
      <c r="C132" s="4"/>
      <c r="D132" s="4"/>
      <c r="E132" s="4"/>
      <c r="F132" s="4"/>
      <c r="G132" s="4"/>
      <c r="H132" s="4"/>
      <c r="I132" s="4"/>
    </row>
    <row r="133" spans="1:9">
      <c r="A133" s="4"/>
      <c r="B133" s="4"/>
      <c r="C133" s="4"/>
      <c r="D133" s="4"/>
      <c r="E133" s="4"/>
      <c r="F133" s="4"/>
      <c r="G133" s="4"/>
      <c r="H133" s="4"/>
      <c r="I133" s="4"/>
    </row>
    <row r="134" spans="1:9">
      <c r="A134" s="4"/>
      <c r="B134" s="4"/>
      <c r="C134" s="4"/>
      <c r="D134" s="4"/>
      <c r="E134" s="4"/>
      <c r="F134" s="4"/>
      <c r="G134" s="4"/>
      <c r="H134" s="4"/>
      <c r="I134" s="4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>
      <c r="A136" s="4"/>
      <c r="B136" s="4"/>
      <c r="C136" s="4"/>
      <c r="D136" s="4"/>
      <c r="E136" s="4"/>
      <c r="F136" s="4"/>
      <c r="G136" s="4"/>
      <c r="H136" s="4"/>
      <c r="I136" s="4"/>
    </row>
    <row r="137" spans="1:9">
      <c r="A137" s="4"/>
      <c r="B137" s="4"/>
      <c r="C137" s="4"/>
      <c r="D137" s="4"/>
      <c r="E137" s="4"/>
      <c r="F137" s="4"/>
      <c r="G137" s="4"/>
      <c r="H137" s="4"/>
      <c r="I137" s="4"/>
    </row>
    <row r="138" spans="1:9">
      <c r="A138" s="4"/>
      <c r="B138" s="4"/>
      <c r="C138" s="4"/>
      <c r="D138" s="4"/>
      <c r="E138" s="4"/>
      <c r="F138" s="4"/>
      <c r="G138" s="4"/>
      <c r="H138" s="4"/>
      <c r="I138" s="4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>
      <c r="A140" s="4"/>
      <c r="B140" s="4"/>
      <c r="C140" s="4"/>
      <c r="D140" s="4"/>
      <c r="E140" s="4"/>
      <c r="F140" s="4"/>
      <c r="G140" s="4"/>
      <c r="H140" s="4"/>
      <c r="I140" s="4"/>
    </row>
    <row r="141" spans="1:9">
      <c r="A141" s="4"/>
      <c r="B141" s="4"/>
      <c r="C141" s="4"/>
      <c r="D141" s="4"/>
      <c r="E141" s="4"/>
      <c r="F141" s="4"/>
      <c r="G141" s="4"/>
      <c r="H141" s="4"/>
      <c r="I141" s="4"/>
    </row>
    <row r="142" spans="1:9">
      <c r="A142" s="4"/>
      <c r="B142" s="4"/>
      <c r="C142" s="4"/>
      <c r="D142" s="4"/>
      <c r="E142" s="4"/>
      <c r="F142" s="4"/>
      <c r="G142" s="4"/>
      <c r="H142" s="4"/>
      <c r="I142" s="4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>
      <c r="A144" s="4"/>
      <c r="B144" s="4"/>
      <c r="C144" s="4"/>
      <c r="D144" s="4"/>
      <c r="E144" s="4"/>
      <c r="F144" s="4"/>
      <c r="G144" s="4"/>
      <c r="H144" s="4"/>
      <c r="I144" s="4"/>
    </row>
    <row r="145" spans="1:9">
      <c r="A145" s="4"/>
      <c r="B145" s="4"/>
      <c r="C145" s="4"/>
      <c r="D145" s="4"/>
      <c r="E145" s="4"/>
      <c r="F145" s="4"/>
      <c r="G145" s="4"/>
      <c r="H145" s="4"/>
      <c r="I145" s="4"/>
    </row>
    <row r="146" spans="1:9">
      <c r="A146" s="4"/>
      <c r="B146" s="4"/>
      <c r="C146" s="4"/>
      <c r="D146" s="4"/>
      <c r="E146" s="4"/>
      <c r="F146" s="4"/>
      <c r="G146" s="4"/>
      <c r="H146" s="4"/>
      <c r="I146" s="4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>
      <c r="A148" s="4"/>
      <c r="B148" s="4"/>
      <c r="C148" s="4"/>
      <c r="D148" s="4"/>
      <c r="E148" s="4"/>
      <c r="F148" s="4"/>
      <c r="G148" s="4"/>
      <c r="H148" s="4"/>
      <c r="I148" s="4"/>
    </row>
    <row r="149" spans="1:9">
      <c r="A149" s="4"/>
      <c r="B149" s="4"/>
      <c r="C149" s="4"/>
      <c r="D149" s="4"/>
      <c r="E149" s="4"/>
      <c r="F149" s="4"/>
      <c r="G149" s="4"/>
      <c r="H149" s="4"/>
      <c r="I149" s="4"/>
    </row>
    <row r="150" spans="1:9">
      <c r="A150" s="4"/>
      <c r="B150" s="4"/>
      <c r="C150" s="4"/>
      <c r="D150" s="4"/>
      <c r="E150" s="4"/>
      <c r="F150" s="4"/>
      <c r="G150" s="4"/>
      <c r="H150" s="4"/>
      <c r="I150" s="4"/>
    </row>
    <row r="151" spans="1:9">
      <c r="A151" s="4"/>
      <c r="B151" s="4"/>
      <c r="C151" s="4"/>
      <c r="D151" s="4"/>
      <c r="E151" s="4"/>
      <c r="F151" s="4"/>
      <c r="G151" s="4"/>
      <c r="H151" s="4"/>
      <c r="I151" s="4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>
      <c r="A153" s="4"/>
      <c r="B153" s="4"/>
      <c r="C153" s="4"/>
      <c r="D153" s="4"/>
      <c r="E153" s="4"/>
      <c r="F153" s="4"/>
      <c r="G153" s="4"/>
      <c r="H153" s="4"/>
      <c r="I153" s="4"/>
    </row>
    <row r="154" spans="1:9">
      <c r="A154" s="4"/>
      <c r="B154" s="4"/>
      <c r="C154" s="4"/>
      <c r="D154" s="4"/>
      <c r="E154" s="4"/>
      <c r="F154" s="4"/>
      <c r="G154" s="4"/>
      <c r="H154" s="4"/>
      <c r="I154" s="4"/>
    </row>
    <row r="155" spans="1:9">
      <c r="A155" s="4"/>
      <c r="B155" s="4"/>
      <c r="C155" s="4"/>
      <c r="D155" s="4"/>
      <c r="E155" s="4"/>
      <c r="F155" s="4"/>
      <c r="G155" s="4"/>
      <c r="H155" s="4"/>
      <c r="I155" s="4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>
      <c r="A157" s="4"/>
      <c r="B157" s="4"/>
      <c r="C157" s="4"/>
      <c r="D157" s="4"/>
      <c r="E157" s="4"/>
      <c r="F157" s="4"/>
      <c r="G157" s="4"/>
      <c r="H157" s="4"/>
      <c r="I157" s="4"/>
    </row>
    <row r="158" spans="1:9">
      <c r="A158" s="4"/>
      <c r="B158" s="4"/>
      <c r="C158" s="4"/>
      <c r="D158" s="4"/>
      <c r="E158" s="4"/>
      <c r="F158" s="4"/>
      <c r="G158" s="4"/>
      <c r="H158" s="4"/>
      <c r="I158" s="4"/>
    </row>
    <row r="159" spans="1:9">
      <c r="A159" s="4"/>
      <c r="B159" s="4"/>
      <c r="C159" s="4"/>
      <c r="D159" s="4"/>
      <c r="E159" s="4"/>
      <c r="F159" s="4"/>
      <c r="G159" s="4"/>
      <c r="H159" s="4"/>
      <c r="I159" s="4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>
      <c r="A161" s="4"/>
      <c r="B161" s="4"/>
      <c r="C161" s="4"/>
      <c r="D161" s="4"/>
      <c r="E161" s="4"/>
      <c r="F161" s="4"/>
      <c r="G161" s="4"/>
      <c r="H161" s="4"/>
      <c r="I161" s="4"/>
    </row>
    <row r="162" spans="1:9">
      <c r="A162" s="4"/>
      <c r="B162" s="4"/>
      <c r="C162" s="4"/>
      <c r="D162" s="4"/>
      <c r="E162" s="4"/>
      <c r="F162" s="4"/>
      <c r="G162" s="4"/>
      <c r="H162" s="4"/>
      <c r="I162" s="4"/>
    </row>
    <row r="163" spans="1:9">
      <c r="A163" s="4"/>
      <c r="B163" s="4"/>
      <c r="C163" s="4"/>
      <c r="D163" s="4"/>
      <c r="E163" s="4"/>
      <c r="F163" s="4"/>
      <c r="G163" s="4"/>
      <c r="H163" s="4"/>
      <c r="I163" s="4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>
      <c r="A165" s="4"/>
      <c r="B165" s="4"/>
      <c r="C165" s="4"/>
      <c r="D165" s="4"/>
      <c r="E165" s="4"/>
      <c r="F165" s="4"/>
      <c r="G165" s="4"/>
      <c r="H165" s="4"/>
      <c r="I165" s="4"/>
    </row>
    <row r="166" spans="1:9">
      <c r="A166" s="4"/>
      <c r="B166" s="4"/>
      <c r="C166" s="4"/>
      <c r="D166" s="4"/>
      <c r="E166" s="4"/>
      <c r="F166" s="4"/>
      <c r="G166" s="4"/>
      <c r="H166" s="4"/>
      <c r="I166" s="4"/>
    </row>
    <row r="167" spans="1:9">
      <c r="A167" s="4"/>
      <c r="B167" s="4"/>
      <c r="C167" s="4"/>
      <c r="D167" s="4"/>
      <c r="E167" s="4"/>
      <c r="F167" s="4"/>
      <c r="G167" s="4"/>
      <c r="H167" s="4"/>
      <c r="I167" s="4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>
      <c r="A169" s="4"/>
      <c r="B169" s="4"/>
      <c r="C169" s="4"/>
      <c r="D169" s="4"/>
      <c r="E169" s="4"/>
      <c r="F169" s="4"/>
      <c r="G169" s="4"/>
      <c r="H169" s="4"/>
      <c r="I169" s="4"/>
    </row>
    <row r="170" spans="1:9">
      <c r="A170" s="4"/>
      <c r="B170" s="4"/>
      <c r="C170" s="4"/>
      <c r="D170" s="4"/>
      <c r="E170" s="4"/>
      <c r="F170" s="4"/>
      <c r="G170" s="4"/>
      <c r="H170" s="4"/>
      <c r="I170" s="4"/>
    </row>
    <row r="171" spans="1:9">
      <c r="A171" s="4"/>
      <c r="B171" s="4"/>
      <c r="C171" s="4"/>
      <c r="D171" s="4"/>
      <c r="E171" s="4"/>
      <c r="F171" s="4"/>
      <c r="G171" s="4"/>
      <c r="H171" s="4"/>
      <c r="I171" s="4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>
      <c r="A173" s="4"/>
      <c r="B173" s="4"/>
      <c r="C173" s="4"/>
      <c r="D173" s="4"/>
      <c r="E173" s="4"/>
      <c r="F173" s="4"/>
      <c r="G173" s="4"/>
      <c r="H173" s="4"/>
      <c r="I173" s="4"/>
    </row>
    <row r="174" spans="1:9">
      <c r="A174" s="4"/>
      <c r="B174" s="4"/>
      <c r="C174" s="4"/>
      <c r="D174" s="4"/>
      <c r="E174" s="4"/>
      <c r="F174" s="4"/>
      <c r="G174" s="4"/>
      <c r="H174" s="4"/>
      <c r="I174" s="4"/>
    </row>
    <row r="175" spans="1:9">
      <c r="A175" s="4"/>
      <c r="B175" s="4"/>
      <c r="C175" s="4"/>
      <c r="D175" s="4"/>
      <c r="E175" s="4"/>
      <c r="F175" s="4"/>
      <c r="G175" s="4"/>
      <c r="H175" s="4"/>
      <c r="I175" s="4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>
      <c r="A177" s="4"/>
      <c r="B177" s="4"/>
      <c r="C177" s="4"/>
      <c r="D177" s="4"/>
      <c r="E177" s="4"/>
      <c r="F177" s="4"/>
      <c r="G177" s="4"/>
      <c r="H177" s="4"/>
      <c r="I177" s="4"/>
    </row>
    <row r="178" spans="1:9">
      <c r="A178" s="4"/>
      <c r="B178" s="4"/>
      <c r="C178" s="4"/>
      <c r="D178" s="4"/>
      <c r="E178" s="4"/>
      <c r="F178" s="4"/>
      <c r="G178" s="4"/>
      <c r="H178" s="4"/>
      <c r="I178" s="4"/>
    </row>
    <row r="179" spans="1:9">
      <c r="A179" s="4"/>
      <c r="B179" s="4"/>
      <c r="C179" s="4"/>
      <c r="D179" s="4"/>
      <c r="E179" s="4"/>
      <c r="F179" s="4"/>
      <c r="G179" s="4"/>
      <c r="H179" s="4"/>
      <c r="I179" s="4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>
      <c r="A181" s="4"/>
      <c r="B181" s="4"/>
      <c r="C181" s="4"/>
      <c r="D181" s="4"/>
      <c r="E181" s="4"/>
      <c r="F181" s="4"/>
      <c r="G181" s="4"/>
      <c r="H181" s="4"/>
      <c r="I181" s="4"/>
    </row>
    <row r="182" spans="1:9">
      <c r="A182" s="4"/>
      <c r="B182" s="4"/>
      <c r="C182" s="4"/>
      <c r="D182" s="4"/>
      <c r="E182" s="4"/>
      <c r="F182" s="4"/>
      <c r="G182" s="4"/>
      <c r="H182" s="4"/>
      <c r="I182" s="4"/>
    </row>
    <row r="183" spans="1:9">
      <c r="A183" s="4"/>
      <c r="B183" s="4"/>
      <c r="C183" s="4"/>
      <c r="D183" s="4"/>
      <c r="E183" s="4"/>
      <c r="F183" s="4"/>
      <c r="G183" s="4"/>
      <c r="H183" s="4"/>
      <c r="I183" s="4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>
      <c r="A185" s="4"/>
      <c r="B185" s="4"/>
      <c r="C185" s="4"/>
      <c r="D185" s="4"/>
      <c r="E185" s="4"/>
      <c r="F185" s="4"/>
      <c r="G185" s="4"/>
      <c r="H185" s="4"/>
      <c r="I185" s="4"/>
    </row>
    <row r="186" spans="1:9">
      <c r="A186" s="4"/>
      <c r="B186" s="4"/>
      <c r="C186" s="4"/>
      <c r="D186" s="4"/>
      <c r="E186" s="4"/>
      <c r="F186" s="4"/>
      <c r="G186" s="4"/>
      <c r="H186" s="4"/>
      <c r="I186" s="4"/>
    </row>
    <row r="187" spans="1:9">
      <c r="A187" s="4"/>
      <c r="B187" s="4"/>
      <c r="C187" s="4"/>
      <c r="D187" s="4"/>
      <c r="E187" s="4"/>
      <c r="F187" s="4"/>
      <c r="G187" s="4"/>
      <c r="H187" s="4"/>
      <c r="I187" s="4"/>
    </row>
    <row r="188" spans="1:9">
      <c r="A188" s="4"/>
      <c r="B188" s="4"/>
      <c r="C188" s="4"/>
      <c r="D188" s="4"/>
      <c r="E188" s="4"/>
      <c r="F188" s="4"/>
      <c r="G188" s="4"/>
      <c r="H188" s="4"/>
      <c r="I188" s="4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>
      <c r="A190" s="4"/>
      <c r="B190" s="4"/>
      <c r="C190" s="4"/>
      <c r="D190" s="4"/>
      <c r="E190" s="4"/>
      <c r="F190" s="4"/>
      <c r="G190" s="4"/>
      <c r="H190" s="4"/>
      <c r="I190" s="4"/>
    </row>
    <row r="191" spans="1:9">
      <c r="A191" s="4"/>
      <c r="B191" s="4"/>
      <c r="C191" s="4"/>
      <c r="D191" s="4"/>
      <c r="E191" s="4"/>
      <c r="F191" s="4"/>
      <c r="G191" s="4"/>
      <c r="H191" s="4"/>
      <c r="I191" s="4"/>
    </row>
    <row r="192" spans="1:9">
      <c r="A192" s="4"/>
      <c r="B192" s="4"/>
      <c r="C192" s="4"/>
      <c r="D192" s="4"/>
      <c r="E192" s="4"/>
      <c r="F192" s="4"/>
      <c r="G192" s="4"/>
      <c r="H192" s="4"/>
      <c r="I192" s="4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>
      <c r="A194" s="4"/>
      <c r="B194" s="4"/>
      <c r="C194" s="4"/>
      <c r="D194" s="4"/>
      <c r="E194" s="4"/>
      <c r="F194" s="4"/>
      <c r="G194" s="4"/>
      <c r="H194" s="4"/>
      <c r="I194" s="4"/>
    </row>
    <row r="195" spans="1:9">
      <c r="A195" s="4"/>
      <c r="B195" s="4"/>
      <c r="C195" s="4"/>
      <c r="D195" s="4"/>
      <c r="E195" s="4"/>
      <c r="F195" s="4"/>
      <c r="G195" s="4"/>
      <c r="H195" s="4"/>
      <c r="I195" s="4"/>
    </row>
    <row r="196" spans="1:9">
      <c r="A196" s="4"/>
      <c r="B196" s="4"/>
      <c r="C196" s="4"/>
      <c r="D196" s="4"/>
      <c r="E196" s="4"/>
      <c r="F196" s="4"/>
      <c r="G196" s="4"/>
      <c r="H196" s="4"/>
      <c r="I196" s="4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>
      <c r="A198" s="4"/>
      <c r="B198" s="4"/>
      <c r="C198" s="4"/>
      <c r="D198" s="4"/>
      <c r="E198" s="4"/>
      <c r="F198" s="4"/>
      <c r="G198" s="4"/>
      <c r="H198" s="4"/>
      <c r="I198" s="4"/>
    </row>
    <row r="199" spans="1:9">
      <c r="A199" s="4"/>
      <c r="B199" s="4"/>
      <c r="C199" s="4"/>
      <c r="D199" s="4"/>
      <c r="E199" s="4"/>
      <c r="F199" s="4"/>
      <c r="G199" s="4"/>
      <c r="H199" s="4"/>
      <c r="I199" s="4"/>
    </row>
    <row r="200" spans="1:9">
      <c r="A200" s="4"/>
      <c r="B200" s="4"/>
      <c r="C200" s="4"/>
      <c r="D200" s="4"/>
      <c r="E200" s="4"/>
      <c r="F200" s="4"/>
      <c r="G200" s="4"/>
      <c r="H200" s="4"/>
      <c r="I200" s="4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>
      <c r="A202" s="4"/>
      <c r="B202" s="4"/>
      <c r="C202" s="4"/>
      <c r="D202" s="4"/>
      <c r="E202" s="4"/>
      <c r="F202" s="4"/>
      <c r="G202" s="4"/>
      <c r="H202" s="4"/>
      <c r="I202" s="4"/>
    </row>
    <row r="203" spans="1:9">
      <c r="A203" s="4"/>
      <c r="B203" s="4"/>
      <c r="C203" s="4"/>
      <c r="D203" s="4"/>
      <c r="E203" s="4"/>
      <c r="F203" s="4"/>
      <c r="G203" s="4"/>
      <c r="H203" s="4"/>
      <c r="I203" s="4"/>
    </row>
    <row r="204" spans="1:9">
      <c r="A204" s="4"/>
      <c r="B204" s="4"/>
      <c r="C204" s="4"/>
      <c r="D204" s="4"/>
      <c r="E204" s="4"/>
      <c r="F204" s="4"/>
      <c r="G204" s="4"/>
      <c r="H204" s="4"/>
      <c r="I204" s="4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>
      <c r="A206" s="4"/>
      <c r="B206" s="4"/>
      <c r="C206" s="4"/>
      <c r="D206" s="4"/>
      <c r="E206" s="4"/>
      <c r="F206" s="4"/>
      <c r="G206" s="4"/>
      <c r="H206" s="4"/>
      <c r="I206" s="4"/>
    </row>
    <row r="207" spans="1:9">
      <c r="A207" s="4"/>
      <c r="B207" s="4"/>
      <c r="C207" s="4"/>
      <c r="D207" s="4"/>
      <c r="E207" s="4"/>
      <c r="F207" s="4"/>
      <c r="G207" s="4"/>
      <c r="H207" s="4"/>
      <c r="I207" s="4"/>
    </row>
    <row r="208" spans="1:9">
      <c r="A208" s="4"/>
      <c r="B208" s="4"/>
      <c r="C208" s="4"/>
      <c r="D208" s="4"/>
      <c r="E208" s="4"/>
      <c r="F208" s="4"/>
      <c r="G208" s="4"/>
      <c r="H208" s="4"/>
      <c r="I208" s="4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>
      <c r="A210" s="4"/>
      <c r="B210" s="4"/>
      <c r="C210" s="4"/>
      <c r="D210" s="4"/>
      <c r="E210" s="4"/>
      <c r="F210" s="4"/>
      <c r="G210" s="4"/>
      <c r="H210" s="4"/>
      <c r="I210" s="4"/>
    </row>
    <row r="211" spans="1:9">
      <c r="A211" s="4"/>
      <c r="B211" s="4"/>
      <c r="C211" s="4"/>
      <c r="D211" s="4"/>
      <c r="E211" s="4"/>
      <c r="F211" s="4"/>
      <c r="G211" s="4"/>
      <c r="H211" s="4"/>
      <c r="I211" s="4"/>
    </row>
    <row r="212" spans="1:9">
      <c r="A212" s="4"/>
      <c r="B212" s="4"/>
      <c r="C212" s="4"/>
      <c r="D212" s="4"/>
      <c r="E212" s="4"/>
      <c r="F212" s="4"/>
      <c r="G212" s="4"/>
      <c r="H212" s="4"/>
      <c r="I212" s="4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>
      <c r="A214" s="4"/>
      <c r="B214" s="4"/>
      <c r="C214" s="4"/>
      <c r="D214" s="4"/>
      <c r="E214" s="4"/>
      <c r="F214" s="4"/>
      <c r="G214" s="4"/>
      <c r="H214" s="4"/>
      <c r="I214" s="4"/>
    </row>
    <row r="215" spans="1:9">
      <c r="A215" s="4"/>
      <c r="B215" s="4"/>
      <c r="C215" s="4"/>
      <c r="D215" s="4"/>
      <c r="E215" s="4"/>
      <c r="F215" s="4"/>
      <c r="G215" s="4"/>
      <c r="H215" s="4"/>
      <c r="I215" s="4"/>
    </row>
    <row r="216" spans="1:9">
      <c r="A216" s="4"/>
      <c r="B216" s="4"/>
      <c r="C216" s="4"/>
      <c r="D216" s="4"/>
      <c r="E216" s="4"/>
      <c r="F216" s="4"/>
      <c r="G216" s="4"/>
      <c r="H216" s="4"/>
      <c r="I216" s="4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>
      <c r="A218" s="4"/>
      <c r="B218" s="4"/>
      <c r="C218" s="4"/>
      <c r="D218" s="4"/>
      <c r="E218" s="4"/>
      <c r="F218" s="4"/>
      <c r="G218" s="4"/>
      <c r="H218" s="4"/>
      <c r="I218" s="4"/>
    </row>
    <row r="219" spans="1:9">
      <c r="A219" s="4"/>
      <c r="B219" s="4"/>
      <c r="C219" s="4"/>
      <c r="D219" s="4"/>
      <c r="E219" s="4"/>
      <c r="F219" s="4"/>
      <c r="G219" s="4"/>
      <c r="H219" s="4"/>
      <c r="I219" s="4"/>
    </row>
    <row r="220" spans="1:9">
      <c r="A220" s="4"/>
      <c r="B220" s="4"/>
      <c r="C220" s="4"/>
      <c r="D220" s="4"/>
      <c r="E220" s="4"/>
      <c r="F220" s="4"/>
      <c r="G220" s="4"/>
      <c r="H220" s="4"/>
      <c r="I220" s="4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</sheetData>
  <mergeCells count="164">
    <mergeCell ref="G47:L47"/>
    <mergeCell ref="G41:L41"/>
    <mergeCell ref="G42:L42"/>
    <mergeCell ref="G44:L44"/>
    <mergeCell ref="G45:L45"/>
    <mergeCell ref="G46:L46"/>
    <mergeCell ref="A1:L2"/>
    <mergeCell ref="A3:L3"/>
    <mergeCell ref="B62:C62"/>
    <mergeCell ref="D58:F58"/>
    <mergeCell ref="G58:L58"/>
    <mergeCell ref="D59:F59"/>
    <mergeCell ref="G59:L59"/>
    <mergeCell ref="D60:F60"/>
    <mergeCell ref="G60:L60"/>
    <mergeCell ref="D61:F62"/>
    <mergeCell ref="G61:L62"/>
    <mergeCell ref="G52:L52"/>
    <mergeCell ref="G53:L53"/>
    <mergeCell ref="G54:L54"/>
    <mergeCell ref="G55:L55"/>
    <mergeCell ref="A56:F56"/>
    <mergeCell ref="G56:L56"/>
    <mergeCell ref="A49:L49"/>
    <mergeCell ref="D50:F50"/>
    <mergeCell ref="G50:L50"/>
    <mergeCell ref="B50:C50"/>
    <mergeCell ref="D54:F54"/>
    <mergeCell ref="B55:C55"/>
    <mergeCell ref="D55:F55"/>
    <mergeCell ref="G51:L51"/>
    <mergeCell ref="A40:C40"/>
    <mergeCell ref="B47:C47"/>
    <mergeCell ref="D47:F47"/>
    <mergeCell ref="A48:F48"/>
    <mergeCell ref="G48:L48"/>
    <mergeCell ref="A41:A43"/>
    <mergeCell ref="A44:A45"/>
    <mergeCell ref="A46:A47"/>
    <mergeCell ref="B44:C44"/>
    <mergeCell ref="D44:F44"/>
    <mergeCell ref="B45:C45"/>
    <mergeCell ref="D45:F45"/>
    <mergeCell ref="B46:C46"/>
    <mergeCell ref="D46:F46"/>
    <mergeCell ref="D40:F40"/>
    <mergeCell ref="G40:L40"/>
    <mergeCell ref="B41:C41"/>
    <mergeCell ref="D41:F41"/>
    <mergeCell ref="B42:C42"/>
    <mergeCell ref="D42:F42"/>
    <mergeCell ref="B43:C43"/>
    <mergeCell ref="A38:L38"/>
    <mergeCell ref="D39:F39"/>
    <mergeCell ref="G39:L39"/>
    <mergeCell ref="A39:C39"/>
    <mergeCell ref="G37:L37"/>
    <mergeCell ref="A37:F37"/>
    <mergeCell ref="B27:C27"/>
    <mergeCell ref="D28:F28"/>
    <mergeCell ref="G28:L28"/>
    <mergeCell ref="D32:F32"/>
    <mergeCell ref="G32:L32"/>
    <mergeCell ref="D33:F33"/>
    <mergeCell ref="G33:L33"/>
    <mergeCell ref="D34:F34"/>
    <mergeCell ref="G34:L34"/>
    <mergeCell ref="B28:C28"/>
    <mergeCell ref="B29:C29"/>
    <mergeCell ref="B30:C30"/>
    <mergeCell ref="B31:C31"/>
    <mergeCell ref="D27:F27"/>
    <mergeCell ref="G27:L27"/>
    <mergeCell ref="D29:F29"/>
    <mergeCell ref="D30:F30"/>
    <mergeCell ref="D31:F31"/>
    <mergeCell ref="G29:L29"/>
    <mergeCell ref="G30:L30"/>
    <mergeCell ref="G31:L31"/>
    <mergeCell ref="D35:F35"/>
    <mergeCell ref="G35:L35"/>
    <mergeCell ref="D36:F36"/>
    <mergeCell ref="G36:L36"/>
    <mergeCell ref="B32:C32"/>
    <mergeCell ref="B33:C33"/>
    <mergeCell ref="B34:C34"/>
    <mergeCell ref="B35:C35"/>
    <mergeCell ref="B36:C36"/>
    <mergeCell ref="A26:L26"/>
    <mergeCell ref="A16:L16"/>
    <mergeCell ref="A17:A18"/>
    <mergeCell ref="B17:C17"/>
    <mergeCell ref="D17:F17"/>
    <mergeCell ref="G17:L17"/>
    <mergeCell ref="B18:C18"/>
    <mergeCell ref="D18:F18"/>
    <mergeCell ref="G18:L18"/>
    <mergeCell ref="A19:L19"/>
    <mergeCell ref="D21:F21"/>
    <mergeCell ref="G21:L21"/>
    <mergeCell ref="G25:L25"/>
    <mergeCell ref="A21:C21"/>
    <mergeCell ref="A22:C22"/>
    <mergeCell ref="A23:C23"/>
    <mergeCell ref="A24:C24"/>
    <mergeCell ref="D20:F20"/>
    <mergeCell ref="G14:L14"/>
    <mergeCell ref="G15:L15"/>
    <mergeCell ref="D14:F14"/>
    <mergeCell ref="D15:F15"/>
    <mergeCell ref="D24:F24"/>
    <mergeCell ref="G22:L22"/>
    <mergeCell ref="G23:L23"/>
    <mergeCell ref="G24:L24"/>
    <mergeCell ref="A25:F25"/>
    <mergeCell ref="A20:C20"/>
    <mergeCell ref="G20:L20"/>
    <mergeCell ref="D22:F22"/>
    <mergeCell ref="D23:F23"/>
    <mergeCell ref="A14:A15"/>
    <mergeCell ref="B15:C15"/>
    <mergeCell ref="A64:F65"/>
    <mergeCell ref="G64:L65"/>
    <mergeCell ref="D8:F8"/>
    <mergeCell ref="D9:F9"/>
    <mergeCell ref="D10:F10"/>
    <mergeCell ref="D11:F11"/>
    <mergeCell ref="D12:F12"/>
    <mergeCell ref="A63:L63"/>
    <mergeCell ref="A57:C57"/>
    <mergeCell ref="D57:L57"/>
    <mergeCell ref="B58:C58"/>
    <mergeCell ref="B59:C59"/>
    <mergeCell ref="B60:C60"/>
    <mergeCell ref="B61:C61"/>
    <mergeCell ref="B51:C51"/>
    <mergeCell ref="D51:F51"/>
    <mergeCell ref="B52:C52"/>
    <mergeCell ref="D52:F52"/>
    <mergeCell ref="B53:C53"/>
    <mergeCell ref="D53:F53"/>
    <mergeCell ref="B54:C54"/>
    <mergeCell ref="D43:F43"/>
    <mergeCell ref="G43:L43"/>
    <mergeCell ref="B14:C14"/>
    <mergeCell ref="B5:H5"/>
    <mergeCell ref="B4:L4"/>
    <mergeCell ref="I5:L5"/>
    <mergeCell ref="A13:L13"/>
    <mergeCell ref="A6:L6"/>
    <mergeCell ref="B8:C8"/>
    <mergeCell ref="B9:C9"/>
    <mergeCell ref="A8:A9"/>
    <mergeCell ref="G8:L8"/>
    <mergeCell ref="G9:L9"/>
    <mergeCell ref="A10:C10"/>
    <mergeCell ref="A11:C11"/>
    <mergeCell ref="A12:C12"/>
    <mergeCell ref="G10:L10"/>
    <mergeCell ref="G11:L11"/>
    <mergeCell ref="G12:L12"/>
    <mergeCell ref="D7:F7"/>
    <mergeCell ref="G7:L7"/>
    <mergeCell ref="A7:C7"/>
  </mergeCells>
  <printOptions horizontalCentered="1"/>
  <pageMargins left="0.25" right="0.25" top="0.75" bottom="0.75" header="0.3" footer="0.3"/>
  <pageSetup paperSize="9" scale="63" fitToWidth="0" fitToHeight="0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3069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EPV</vt:lpstr>
      <vt:lpstr>EPV!Area_de_impressao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Felzemburgh</dc:creator>
  <cp:lastModifiedBy>Maurício Felzemburgh</cp:lastModifiedBy>
  <cp:revision>125</cp:revision>
  <cp:lastPrinted>2017-10-21T04:31:44Z</cp:lastPrinted>
  <dcterms:created xsi:type="dcterms:W3CDTF">2017-06-05T14:41:21Z</dcterms:created>
  <dcterms:modified xsi:type="dcterms:W3CDTF">2025-05-10T17:13:42Z</dcterms:modified>
</cp:coreProperties>
</file>